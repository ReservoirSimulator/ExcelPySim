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zhangjingxinyue/Documents/wt/code/git/pyexcel/ExcelPython/"/>
    </mc:Choice>
  </mc:AlternateContent>
  <xr:revisionPtr revIDLastSave="0" documentId="13_ncr:1_{2F4B321B-3D8F-FA4B-B398-767CFF59FC32}" xr6:coauthVersionLast="40" xr6:coauthVersionMax="40" xr10:uidLastSave="{00000000-0000-0000-0000-000000000000}"/>
  <bookViews>
    <workbookView xWindow="280" yWindow="460" windowWidth="28240" windowHeight="15940" xr2:uid="{00000000-000D-0000-FFFF-FFFF00000000}"/>
  </bookViews>
  <sheets>
    <sheet name="Simulation" sheetId="1" r:id="rId1"/>
    <sheet name="Info" sheetId="3" r:id="rId2"/>
    <sheet name="LICENSE" sheetId="2" r:id="rId3"/>
  </sheets>
  <definedNames>
    <definedName name="n">Simulation!$R$3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8" i="1" l="1"/>
</calcChain>
</file>

<file path=xl/sharedStrings.xml><?xml version="1.0" encoding="utf-8"?>
<sst xmlns="http://schemas.openxmlformats.org/spreadsheetml/2006/main" count="182" uniqueCount="117">
  <si>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</si>
  <si>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</si>
  <si>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</si>
  <si>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</si>
  <si>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</si>
  <si>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</si>
  <si>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</si>
  <si>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</si>
  <si>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</si>
  <si>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</si>
  <si>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</si>
  <si>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</si>
  <si>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</si>
  <si>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</si>
  <si>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</si>
  <si>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</si>
  <si>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</si>
  <si>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</si>
  <si>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</si>
  <si>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</si>
  <si>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</si>
  <si>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</si>
  <si>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</si>
  <si>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</si>
  <si>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</si>
  <si>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NumPy</t>
  </si>
  <si>
    <t>simulation.xlsm is distributed under a BSD 3-Clause License:</t>
  </si>
  <si>
    <t>CON</t>
  </si>
  <si>
    <t>POROSITY AND PERMEABILITY</t>
  </si>
  <si>
    <t>WATER-OIL</t>
  </si>
  <si>
    <t>SAT</t>
  </si>
  <si>
    <t>KRW</t>
  </si>
  <si>
    <t>KROW</t>
  </si>
  <si>
    <t>PCOW</t>
  </si>
  <si>
    <t>P</t>
  </si>
  <si>
    <t>PVT</t>
  </si>
  <si>
    <t>PBO</t>
  </si>
  <si>
    <t>MUO</t>
  </si>
  <si>
    <t>BO</t>
  </si>
  <si>
    <t>RSO</t>
  </si>
  <si>
    <t>WATER-PVT</t>
  </si>
  <si>
    <t>MUW</t>
  </si>
  <si>
    <t>BW</t>
  </si>
  <si>
    <t>GAS-PVT</t>
  </si>
  <si>
    <t>MUG</t>
  </si>
  <si>
    <t>BG</t>
  </si>
  <si>
    <t>DENSITY</t>
  </si>
  <si>
    <t>OIL</t>
  </si>
  <si>
    <t>WATER</t>
  </si>
  <si>
    <t>GAS</t>
  </si>
  <si>
    <t>CON</t>
    <phoneticPr fontId="6" type="noConversion"/>
  </si>
  <si>
    <t>PERMX</t>
    <phoneticPr fontId="6" type="noConversion"/>
  </si>
  <si>
    <t>PERMY</t>
    <phoneticPr fontId="6" type="noConversion"/>
  </si>
  <si>
    <t>PERMZ</t>
    <phoneticPr fontId="6" type="noConversion"/>
  </si>
  <si>
    <t>POR</t>
    <phoneticPr fontId="6" type="noConversion"/>
  </si>
  <si>
    <t>ZVAR</t>
    <phoneticPr fontId="6" type="noConversion"/>
  </si>
  <si>
    <t>Grid Section</t>
    <phoneticPr fontId="6" type="noConversion"/>
  </si>
  <si>
    <t>General Section</t>
    <phoneticPr fontId="6" type="noConversion"/>
  </si>
  <si>
    <t>Copyright (C) 2018-2018, Peclouds LLC.</t>
    <phoneticPr fontId="6" type="noConversion"/>
  </si>
  <si>
    <t>OIL-PVT</t>
    <phoneticPr fontId="6" type="noConversion"/>
  </si>
  <si>
    <t>Property Section</t>
    <phoneticPr fontId="6" type="noConversion"/>
  </si>
  <si>
    <t>SCHEDULE SECTION</t>
    <phoneticPr fontId="6" type="noConversion"/>
  </si>
  <si>
    <t>Layer1</t>
    <phoneticPr fontId="17" type="noConversion"/>
  </si>
  <si>
    <t>Layer2</t>
    <phoneticPr fontId="6" type="noConversion"/>
  </si>
  <si>
    <t>Layer3</t>
    <phoneticPr fontId="17" type="noConversion"/>
  </si>
  <si>
    <t>END</t>
    <phoneticPr fontId="6" type="noConversion"/>
  </si>
  <si>
    <t>TOPS</t>
    <phoneticPr fontId="6" type="noConversion"/>
  </si>
  <si>
    <t>OWC</t>
    <phoneticPr fontId="17" type="noConversion"/>
  </si>
  <si>
    <t>OGC</t>
    <phoneticPr fontId="17" type="noConversion"/>
  </si>
  <si>
    <t>REFPRESS</t>
    <phoneticPr fontId="17" type="noConversion"/>
  </si>
  <si>
    <t>EQUIL</t>
    <phoneticPr fontId="17" type="noConversion"/>
  </si>
  <si>
    <t>REFDEPTH</t>
    <phoneticPr fontId="17" type="noConversion"/>
  </si>
  <si>
    <t>CROCK</t>
    <phoneticPr fontId="17" type="noConversion"/>
  </si>
  <si>
    <t>CON</t>
    <phoneticPr fontId="17" type="noConversion"/>
  </si>
  <si>
    <t>Viso_SLOPE</t>
    <phoneticPr fontId="17" type="noConversion"/>
  </si>
  <si>
    <t>Bo_SLOPE</t>
    <phoneticPr fontId="17" type="noConversion"/>
  </si>
  <si>
    <t>GAS-LIQUID</t>
    <phoneticPr fontId="17" type="noConversion"/>
  </si>
  <si>
    <t>KRG</t>
    <phoneticPr fontId="17" type="noConversion"/>
  </si>
  <si>
    <t>KROG</t>
    <phoneticPr fontId="17" type="noConversion"/>
  </si>
  <si>
    <t>PCOG</t>
    <phoneticPr fontId="17" type="noConversion"/>
  </si>
  <si>
    <t>PROD1</t>
    <phoneticPr fontId="17" type="noConversion"/>
  </si>
  <si>
    <t>PROD2</t>
    <phoneticPr fontId="17" type="noConversion"/>
  </si>
  <si>
    <t>SLIQ</t>
    <phoneticPr fontId="17" type="noConversion"/>
  </si>
  <si>
    <t xml:space="preserve"> </t>
    <phoneticPr fontId="17" type="noConversion"/>
  </si>
  <si>
    <t>General Info</t>
    <phoneticPr fontId="6" type="noConversion"/>
  </si>
  <si>
    <t>Well Name</t>
    <phoneticPr fontId="17" type="noConversion"/>
  </si>
  <si>
    <t>WellHead_X</t>
    <phoneticPr fontId="6" type="noConversion"/>
  </si>
  <si>
    <t>WellHead_Y</t>
    <phoneticPr fontId="6" type="noConversion"/>
  </si>
  <si>
    <t>Well Type</t>
    <phoneticPr fontId="17" type="noConversion"/>
  </si>
  <si>
    <t>Producer</t>
    <phoneticPr fontId="17" type="noConversion"/>
  </si>
  <si>
    <t>Well Completion</t>
    <phoneticPr fontId="6" type="noConversion"/>
  </si>
  <si>
    <t>Perforation</t>
    <phoneticPr fontId="17" type="noConversion"/>
  </si>
  <si>
    <t>Perforated Interval</t>
    <phoneticPr fontId="17" type="noConversion"/>
  </si>
  <si>
    <t>Grid(K)</t>
    <phoneticPr fontId="17" type="noConversion"/>
  </si>
  <si>
    <t>Top Depth</t>
    <phoneticPr fontId="17" type="noConversion"/>
  </si>
  <si>
    <t>Bottom Depth</t>
    <phoneticPr fontId="17" type="noConversion"/>
  </si>
  <si>
    <t>Production</t>
    <phoneticPr fontId="6" type="noConversion"/>
  </si>
  <si>
    <t>Date</t>
    <phoneticPr fontId="17" type="noConversion"/>
  </si>
  <si>
    <t>DX</t>
    <phoneticPr fontId="6" type="noConversion"/>
  </si>
  <si>
    <t>DY</t>
    <phoneticPr fontId="6" type="noConversion"/>
  </si>
  <si>
    <t>DZ</t>
    <phoneticPr fontId="6" type="noConversion"/>
  </si>
  <si>
    <t>Production Days</t>
    <phoneticPr fontId="17" type="noConversion"/>
  </si>
  <si>
    <t>Monthly Liquid Production</t>
    <phoneticPr fontId="17" type="noConversion"/>
  </si>
  <si>
    <t>Monthly Water Production</t>
    <phoneticPr fontId="17" type="noConversion"/>
  </si>
  <si>
    <t>Monthly Oil Production</t>
    <phoneticPr fontId="17" type="noConversion"/>
  </si>
  <si>
    <t>Monthly Gas Production</t>
    <phoneticPr fontId="17" type="noConversion"/>
  </si>
  <si>
    <t>Grid num in X direction</t>
    <phoneticPr fontId="17" type="noConversion"/>
  </si>
  <si>
    <t>INITIAL SECTION</t>
    <phoneticPr fontId="6" type="noConversion"/>
  </si>
  <si>
    <t xml:space="preserve">Porosity </t>
    <phoneticPr fontId="6" type="noConversion"/>
  </si>
  <si>
    <t>Permibility in X dir</t>
    <phoneticPr fontId="6" type="noConversion"/>
  </si>
  <si>
    <t>Perm in Y dir</t>
    <phoneticPr fontId="6" type="noConversion"/>
  </si>
  <si>
    <t>Perm in Z dir</t>
    <phoneticPr fontId="6" type="noConversion"/>
  </si>
  <si>
    <t>XVAR</t>
    <phoneticPr fontId="6" type="noConversion"/>
  </si>
  <si>
    <t>YVAR</t>
    <phoneticPr fontId="6" type="noConversion"/>
  </si>
  <si>
    <t>ZVAR</t>
  </si>
  <si>
    <t>Grid num in Y direction</t>
    <phoneticPr fontId="17" type="noConversion"/>
  </si>
  <si>
    <t>Grid num in Z direction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</si>
</sst>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E+00"/>
    <numFmt numFmtId="165" formatCode="0.0_);[Red]\(0.0\)"/>
    <numFmt numFmtId="166" formatCode="0.0_ "/>
  </numFmts>
  <fonts count="22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theme="4" tint="0.59999389629810485"/>
      <name val="Wide Latin"/>
      <family val="1"/>
    </font>
    <font>
      <sz val="10"/>
      <color theme="4" tint="0.59999389629810485"/>
      <name val="Arial"/>
      <family val="2"/>
    </font>
    <font>
      <sz val="11"/>
      <color theme="4" tint="0.59999389629810485"/>
      <name val="Calibri"/>
      <family val="2"/>
      <scheme val="minor"/>
    </font>
    <font>
      <b/>
      <sz val="10"/>
      <color rgb="FFFF0000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1"/>
      <color rgb="FFFF0000"/>
      <name val="Calibri"/>
      <family val="3"/>
      <charset val="134"/>
      <scheme val="minor"/>
    </font>
    <font>
      <sz val="10"/>
      <name val="宋体"/>
      <family val="3"/>
      <charset val="134"/>
    </font>
    <font>
      <sz val="10"/>
      <name val="Arial"/>
      <family val="2"/>
    </font>
    <font>
      <sz val="11"/>
      <color rgb="FF000000"/>
      <name val="宋体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7" fillId="0" borderId="0"/>
    <xf numFmtId="0" fontId="16" fillId="0" borderId="0">
      <alignment vertical="center"/>
    </xf>
    <xf numFmtId="0" fontId="16" fillId="0" borderId="0"/>
    <xf numFmtId="0" fontId="16" fillId="0" borderId="0"/>
    <xf numFmtId="0" fontId="20" fillId="0" borderId="0"/>
  </cellStyleXfs>
  <cellXfs count="77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4" fillId="0" borderId="0" xfId="0" applyNumberFormat="1" applyFont="1"/>
    <xf numFmtId="2" fontId="5" fillId="0" borderId="0" xfId="0" applyNumberFormat="1" applyFont="1" applyAlignment="1">
      <alignment horizontal="center"/>
    </xf>
    <xf numFmtId="0" fontId="7" fillId="0" borderId="0" xfId="1"/>
    <xf numFmtId="0" fontId="8" fillId="2" borderId="0" xfId="1" applyFont="1" applyFill="1" applyAlignment="1">
      <alignment horizontal="center"/>
    </xf>
    <xf numFmtId="0" fontId="8" fillId="3" borderId="1" xfId="1" applyFont="1" applyFill="1" applyBorder="1" applyAlignment="1">
      <alignment horizontal="center"/>
    </xf>
    <xf numFmtId="0" fontId="8" fillId="4" borderId="1" xfId="1" applyFont="1" applyFill="1" applyBorder="1" applyAlignment="1">
      <alignment horizontal="center"/>
    </xf>
    <xf numFmtId="0" fontId="8" fillId="3" borderId="2" xfId="1" applyFont="1" applyFill="1" applyBorder="1" applyAlignment="1">
      <alignment horizontal="center"/>
    </xf>
    <xf numFmtId="0" fontId="9" fillId="2" borderId="0" xfId="1" applyFont="1" applyFill="1" applyAlignment="1"/>
    <xf numFmtId="0" fontId="8" fillId="2" borderId="0" xfId="1" applyFont="1" applyFill="1"/>
    <xf numFmtId="0" fontId="7" fillId="2" borderId="1" xfId="1" applyFill="1" applyBorder="1" applyAlignment="1">
      <alignment horizontal="center"/>
    </xf>
    <xf numFmtId="0" fontId="7" fillId="2" borderId="0" xfId="1" applyFill="1" applyAlignment="1">
      <alignment horizontal="center"/>
    </xf>
    <xf numFmtId="0" fontId="7" fillId="2" borderId="0" xfId="1" applyFill="1"/>
    <xf numFmtId="0" fontId="7" fillId="2" borderId="0" xfId="1" applyFont="1" applyFill="1" applyAlignment="1">
      <alignment horizontal="center"/>
    </xf>
    <xf numFmtId="0" fontId="10" fillId="2" borderId="0" xfId="1" applyFont="1" applyFill="1" applyAlignment="1">
      <alignment horizontal="center"/>
    </xf>
    <xf numFmtId="0" fontId="7" fillId="2" borderId="0" xfId="1" applyFont="1" applyFill="1"/>
    <xf numFmtId="0" fontId="11" fillId="2" borderId="0" xfId="1" applyFont="1" applyFill="1" applyAlignment="1">
      <alignment horizontal="center"/>
    </xf>
    <xf numFmtId="0" fontId="8" fillId="2" borderId="0" xfId="1" applyFont="1" applyFill="1" applyBorder="1" applyAlignment="1">
      <alignment horizontal="center"/>
    </xf>
    <xf numFmtId="0" fontId="7" fillId="2" borderId="0" xfId="1" applyFill="1" applyBorder="1" applyAlignment="1">
      <alignment horizontal="center"/>
    </xf>
    <xf numFmtId="0" fontId="7" fillId="0" borderId="1" xfId="1" applyBorder="1" applyAlignment="1">
      <alignment horizontal="center"/>
    </xf>
    <xf numFmtId="164" fontId="7" fillId="2" borderId="1" xfId="1" applyNumberFormat="1" applyFill="1" applyBorder="1" applyAlignment="1">
      <alignment horizontal="center"/>
    </xf>
    <xf numFmtId="21" fontId="7" fillId="2" borderId="0" xfId="1" applyNumberFormat="1" applyFill="1" applyAlignment="1">
      <alignment horizontal="center"/>
    </xf>
    <xf numFmtId="22" fontId="7" fillId="2" borderId="0" xfId="1" applyNumberFormat="1" applyFont="1" applyFill="1"/>
    <xf numFmtId="22" fontId="8" fillId="2" borderId="0" xfId="1" applyNumberFormat="1" applyFont="1" applyFill="1" applyAlignment="1">
      <alignment horizontal="center"/>
    </xf>
    <xf numFmtId="46" fontId="7" fillId="2" borderId="0" xfId="1" applyNumberFormat="1" applyFont="1" applyFill="1" applyAlignment="1">
      <alignment horizontal="center"/>
    </xf>
    <xf numFmtId="0" fontId="8" fillId="5" borderId="1" xfId="1" applyFont="1" applyFill="1" applyBorder="1" applyAlignment="1">
      <alignment horizontal="center"/>
    </xf>
    <xf numFmtId="0" fontId="8" fillId="6" borderId="0" xfId="1" applyFont="1" applyFill="1" applyAlignment="1">
      <alignment horizontal="center"/>
    </xf>
    <xf numFmtId="0" fontId="7" fillId="6" borderId="0" xfId="1" applyFill="1" applyAlignment="1">
      <alignment horizontal="center"/>
    </xf>
    <xf numFmtId="0" fontId="7" fillId="6" borderId="0" xfId="1" applyFill="1"/>
    <xf numFmtId="0" fontId="0" fillId="6" borderId="0" xfId="0" applyFill="1"/>
    <xf numFmtId="0" fontId="7" fillId="6" borderId="0" xfId="1" applyFont="1" applyFill="1" applyAlignment="1">
      <alignment horizontal="center"/>
    </xf>
    <xf numFmtId="2" fontId="5" fillId="6" borderId="0" xfId="0" applyNumberFormat="1" applyFont="1" applyFill="1" applyAlignment="1">
      <alignment horizontal="center"/>
    </xf>
    <xf numFmtId="0" fontId="7" fillId="6" borderId="0" xfId="1" applyFill="1" applyBorder="1" applyAlignment="1">
      <alignment horizontal="center"/>
    </xf>
    <xf numFmtId="21" fontId="7" fillId="6" borderId="0" xfId="1" applyNumberFormat="1" applyFill="1" applyAlignment="1">
      <alignment horizontal="center"/>
    </xf>
    <xf numFmtId="0" fontId="7" fillId="6" borderId="0" xfId="1" applyNumberFormat="1" applyFill="1" applyAlignment="1">
      <alignment horizontal="center"/>
    </xf>
    <xf numFmtId="0" fontId="7" fillId="7" borderId="0" xfId="1" applyFill="1" applyAlignment="1">
      <alignment horizontal="center"/>
    </xf>
    <xf numFmtId="0" fontId="12" fillId="8" borderId="3" xfId="1" applyFont="1" applyFill="1" applyBorder="1" applyAlignment="1">
      <alignment horizontal="left" vertical="center"/>
    </xf>
    <xf numFmtId="0" fontId="12" fillId="8" borderId="5" xfId="1" applyFont="1" applyFill="1" applyBorder="1" applyAlignment="1">
      <alignment horizontal="center" vertical="center"/>
    </xf>
    <xf numFmtId="0" fontId="13" fillId="8" borderId="5" xfId="1" applyFont="1" applyFill="1" applyBorder="1" applyAlignment="1">
      <alignment horizontal="center"/>
    </xf>
    <xf numFmtId="0" fontId="13" fillId="8" borderId="6" xfId="1" applyFont="1" applyFill="1" applyBorder="1" applyAlignment="1">
      <alignment horizontal="center"/>
    </xf>
    <xf numFmtId="0" fontId="13" fillId="8" borderId="4" xfId="1" applyFont="1" applyFill="1" applyBorder="1" applyAlignment="1">
      <alignment horizontal="center"/>
    </xf>
    <xf numFmtId="0" fontId="12" fillId="8" borderId="4" xfId="1" applyFont="1" applyFill="1" applyBorder="1" applyAlignment="1">
      <alignment horizontal="center" vertical="center"/>
    </xf>
    <xf numFmtId="0" fontId="13" fillId="8" borderId="4" xfId="1" applyFont="1" applyFill="1" applyBorder="1"/>
    <xf numFmtId="0" fontId="14" fillId="8" borderId="0" xfId="0" applyNumberFormat="1" applyFont="1" applyFill="1" applyAlignment="1">
      <alignment wrapText="1"/>
    </xf>
    <xf numFmtId="0" fontId="7" fillId="5" borderId="0" xfId="1" applyFill="1" applyBorder="1" applyAlignment="1">
      <alignment horizontal="center"/>
    </xf>
    <xf numFmtId="0" fontId="7" fillId="5" borderId="0" xfId="1" applyFill="1"/>
    <xf numFmtId="164" fontId="7" fillId="2" borderId="0" xfId="1" applyNumberFormat="1" applyFill="1" applyBorder="1" applyAlignment="1">
      <alignment horizontal="center"/>
    </xf>
    <xf numFmtId="0" fontId="15" fillId="2" borderId="0" xfId="1" applyFont="1" applyFill="1" applyAlignment="1"/>
    <xf numFmtId="0" fontId="16" fillId="0" borderId="0" xfId="2" applyNumberFormat="1" applyProtection="1">
      <alignment vertical="center"/>
      <protection locked="0"/>
    </xf>
    <xf numFmtId="14" fontId="16" fillId="0" borderId="0" xfId="2" applyNumberFormat="1" applyProtection="1">
      <alignment vertical="center"/>
      <protection locked="0"/>
    </xf>
    <xf numFmtId="0" fontId="18" fillId="0" borderId="0" xfId="0" applyFont="1"/>
    <xf numFmtId="0" fontId="16" fillId="0" borderId="0" xfId="2" applyNumberFormat="1" applyFill="1" applyProtection="1">
      <alignment vertical="center"/>
      <protection locked="0"/>
    </xf>
    <xf numFmtId="0" fontId="19" fillId="0" borderId="7" xfId="3" applyFont="1" applyFill="1" applyBorder="1" applyAlignment="1">
      <alignment horizontal="center" vertical="center" wrapText="1"/>
    </xf>
    <xf numFmtId="0" fontId="19" fillId="0" borderId="1" xfId="3" applyFont="1" applyFill="1" applyBorder="1" applyAlignment="1">
      <alignment horizontal="center" vertical="center"/>
    </xf>
    <xf numFmtId="0" fontId="19" fillId="0" borderId="7" xfId="3" applyFont="1" applyFill="1" applyBorder="1" applyAlignment="1">
      <alignment horizontal="center" vertical="center"/>
    </xf>
    <xf numFmtId="165" fontId="19" fillId="0" borderId="1" xfId="4" applyNumberFormat="1" applyFont="1" applyFill="1" applyBorder="1" applyAlignment="1">
      <alignment horizontal="center" vertical="center" wrapText="1"/>
    </xf>
    <xf numFmtId="166" fontId="19" fillId="0" borderId="1" xfId="0" applyNumberFormat="1" applyFont="1" applyFill="1" applyBorder="1" applyAlignment="1">
      <alignment horizontal="center" vertical="center"/>
    </xf>
    <xf numFmtId="0" fontId="19" fillId="0" borderId="8" xfId="0" applyFont="1" applyFill="1" applyBorder="1" applyAlignment="1">
      <alignment horizontal="center" vertical="center"/>
    </xf>
    <xf numFmtId="166" fontId="19" fillId="0" borderId="0" xfId="0" applyNumberFormat="1" applyFont="1" applyFill="1" applyBorder="1" applyAlignment="1">
      <alignment horizontal="center" vertical="center"/>
    </xf>
    <xf numFmtId="166" fontId="19" fillId="0" borderId="0" xfId="0" applyNumberFormat="1" applyFont="1" applyFill="1" applyBorder="1" applyAlignment="1">
      <alignment horizontal="center" vertical="center" wrapText="1"/>
    </xf>
    <xf numFmtId="0" fontId="19" fillId="0" borderId="0" xfId="3" applyFont="1" applyFill="1" applyBorder="1" applyAlignment="1">
      <alignment horizontal="center" vertical="center"/>
    </xf>
    <xf numFmtId="0" fontId="19" fillId="0" borderId="0" xfId="3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/>
    </xf>
    <xf numFmtId="0" fontId="19" fillId="0" borderId="7" xfId="3" applyFont="1" applyFill="1" applyBorder="1" applyAlignment="1">
      <alignment horizontal="center" vertical="center" wrapText="1"/>
    </xf>
    <xf numFmtId="0" fontId="19" fillId="0" borderId="1" xfId="3" applyFont="1" applyFill="1" applyBorder="1" applyAlignment="1">
      <alignment horizontal="center" vertical="center"/>
    </xf>
    <xf numFmtId="0" fontId="19" fillId="0" borderId="7" xfId="3" applyFont="1" applyFill="1" applyBorder="1" applyAlignment="1">
      <alignment horizontal="center" vertical="center" wrapText="1"/>
    </xf>
    <xf numFmtId="0" fontId="19" fillId="0" borderId="1" xfId="3" applyFont="1" applyFill="1" applyBorder="1" applyAlignment="1">
      <alignment horizontal="center" vertical="center"/>
    </xf>
    <xf numFmtId="0" fontId="20" fillId="2" borderId="1" xfId="5" applyFill="1" applyBorder="1" applyAlignment="1">
      <alignment horizontal="center"/>
    </xf>
    <xf numFmtId="11" fontId="7" fillId="2" borderId="1" xfId="1" applyNumberFormat="1" applyFill="1" applyBorder="1" applyAlignment="1">
      <alignment horizontal="center"/>
    </xf>
    <xf numFmtId="0" fontId="19" fillId="0" borderId="7" xfId="3" applyFont="1" applyFill="1" applyBorder="1" applyAlignment="1">
      <alignment horizontal="center" vertical="center" wrapText="1"/>
    </xf>
    <xf numFmtId="0" fontId="19" fillId="0" borderId="1" xfId="3" applyFont="1" applyFill="1" applyBorder="1" applyAlignment="1">
      <alignment horizontal="center" vertical="center"/>
    </xf>
    <xf numFmtId="0" fontId="19" fillId="0" borderId="7" xfId="3" applyFont="1" applyFill="1" applyBorder="1" applyAlignment="1">
      <alignment horizontal="center" vertical="center" wrapText="1"/>
    </xf>
    <xf numFmtId="0" fontId="19" fillId="0" borderId="1" xfId="3" applyFont="1" applyFill="1" applyBorder="1" applyAlignment="1">
      <alignment horizontal="center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5" xr:uid="{00000000-0005-0000-0000-000003000000}"/>
    <cellStyle name="常规_Sheet1" xfId="3" xr:uid="{00000000-0005-0000-0000-000004000000}"/>
    <cellStyle name="常规_Sheet1_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736600</xdr:colOff>
          <xdr:row>2</xdr:row>
          <xdr:rowOff>63500</xdr:rowOff>
        </xdr:from>
        <xdr:to>
          <xdr:col>11</xdr:col>
          <xdr:colOff>558800</xdr:colOff>
          <xdr:row>3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Draw Rel. Perm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宋体" charset="-122"/>
                <a:ea typeface="宋体" charset="-122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宋体" charset="-122"/>
                <a:ea typeface="宋体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812800</xdr:colOff>
          <xdr:row>4</xdr:row>
          <xdr:rowOff>63500</xdr:rowOff>
        </xdr:from>
        <xdr:to>
          <xdr:col>11</xdr:col>
          <xdr:colOff>241300</xdr:colOff>
          <xdr:row>5</xdr:row>
          <xdr:rowOff>127000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Draw PVT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6</xdr:row>
          <xdr:rowOff>127000</xdr:rowOff>
        </xdr:from>
        <xdr:to>
          <xdr:col>11</xdr:col>
          <xdr:colOff>203200</xdr:colOff>
          <xdr:row>7</xdr:row>
          <xdr:rowOff>165100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Draw Wells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977900</xdr:colOff>
          <xdr:row>10</xdr:row>
          <xdr:rowOff>127000</xdr:rowOff>
        </xdr:from>
        <xdr:to>
          <xdr:col>11</xdr:col>
          <xdr:colOff>342900</xdr:colOff>
          <xdr:row>11</xdr:row>
          <xdr:rowOff>165100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T191"/>
  <sheetViews>
    <sheetView showGridLines="0" tabSelected="1" zoomScaleNormal="100" workbookViewId="0">
      <selection activeCell="E8" sqref="E8"/>
    </sheetView>
  </sheetViews>
  <sheetFormatPr baseColWidth="10" defaultColWidth="8.83203125" defaultRowHeight="15"/>
  <cols>
    <col min="1" max="1" width="17.83203125" customWidth="1"/>
    <col min="2" max="2" width="21.83203125" bestFit="1" customWidth="1"/>
    <col min="3" max="3" width="21.6640625" bestFit="1" customWidth="1"/>
    <col min="4" max="4" width="28.1640625" bestFit="1" customWidth="1"/>
    <col min="5" max="5" width="27.1640625" bestFit="1" customWidth="1"/>
    <col min="6" max="7" width="24.83203125" bestFit="1" customWidth="1"/>
    <col min="8" max="8" width="12" bestFit="1" customWidth="1"/>
    <col min="15" max="15" width="9.1640625" style="5" customWidth="1"/>
    <col min="16" max="19" width="9.1640625" style="6" customWidth="1"/>
  </cols>
  <sheetData>
    <row r="1" spans="1:202" s="47" customFormat="1" ht="16" thickBot="1">
      <c r="A1" s="40"/>
      <c r="B1" s="41"/>
      <c r="C1" s="42"/>
      <c r="D1" s="43"/>
      <c r="E1" s="44"/>
      <c r="F1" s="45"/>
      <c r="G1" s="44"/>
      <c r="H1" s="44"/>
      <c r="I1" s="45"/>
      <c r="J1" s="44"/>
      <c r="K1" s="44"/>
      <c r="L1" s="46"/>
      <c r="M1" s="45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</row>
    <row r="2" spans="1:202">
      <c r="A2" s="51" t="s">
        <v>57</v>
      </c>
      <c r="B2" s="9" t="s">
        <v>106</v>
      </c>
      <c r="C2" s="9" t="s">
        <v>115</v>
      </c>
      <c r="D2" s="9" t="s">
        <v>116</v>
      </c>
      <c r="E2" s="8"/>
      <c r="F2" s="9" t="s">
        <v>108</v>
      </c>
      <c r="G2" s="9" t="s">
        <v>109</v>
      </c>
      <c r="H2" s="9" t="s">
        <v>110</v>
      </c>
      <c r="I2" s="9" t="s">
        <v>111</v>
      </c>
      <c r="J2" s="8"/>
      <c r="K2" s="8"/>
      <c r="L2" s="8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</row>
    <row r="3" spans="1:202">
      <c r="A3" s="7"/>
      <c r="B3" s="14">
        <v>10</v>
      </c>
      <c r="C3" s="14">
        <v>10</v>
      </c>
      <c r="D3" s="14">
        <v>3</v>
      </c>
      <c r="E3" s="7"/>
      <c r="F3" s="14" t="s">
        <v>50</v>
      </c>
      <c r="G3" s="14" t="s">
        <v>55</v>
      </c>
      <c r="H3" s="14" t="s">
        <v>55</v>
      </c>
      <c r="I3" s="14" t="s">
        <v>55</v>
      </c>
      <c r="J3" s="16"/>
      <c r="K3" s="16"/>
      <c r="L3" s="16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</row>
    <row r="4" spans="1:202">
      <c r="A4" s="12"/>
      <c r="B4" s="9" t="s">
        <v>50</v>
      </c>
      <c r="C4" s="9" t="s">
        <v>50</v>
      </c>
      <c r="D4" s="29" t="s">
        <v>114</v>
      </c>
      <c r="E4" s="17"/>
      <c r="F4" s="17"/>
      <c r="G4" s="17"/>
      <c r="H4" s="19"/>
      <c r="I4" s="26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202">
      <c r="A5" s="7"/>
      <c r="B5" s="7"/>
      <c r="C5" s="7"/>
      <c r="D5" s="7"/>
      <c r="E5" s="7"/>
      <c r="F5" s="7"/>
      <c r="G5" s="7"/>
      <c r="H5" s="16"/>
      <c r="I5" s="28"/>
      <c r="J5" s="16"/>
      <c r="K5" s="16"/>
      <c r="L5" s="16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</row>
    <row r="6" spans="1:202">
      <c r="A6" s="7"/>
      <c r="B6" s="22"/>
      <c r="C6" s="22"/>
      <c r="D6" s="22"/>
      <c r="E6" s="7"/>
      <c r="F6" s="7"/>
      <c r="G6" s="7"/>
      <c r="H6" s="16"/>
      <c r="I6" s="28"/>
      <c r="J6" s="16"/>
      <c r="K6" s="16"/>
      <c r="L6" s="16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</row>
    <row r="7" spans="1:202">
      <c r="A7" s="51" t="s">
        <v>56</v>
      </c>
      <c r="B7" s="8"/>
      <c r="C7" s="8"/>
      <c r="D7" s="8"/>
      <c r="E7" s="8"/>
      <c r="F7" s="8"/>
      <c r="G7" s="8"/>
      <c r="H7" s="8"/>
      <c r="I7" s="25"/>
      <c r="J7" s="8"/>
      <c r="K7" s="27"/>
      <c r="L7" s="8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</row>
    <row r="8" spans="1:202">
      <c r="A8" s="7"/>
      <c r="B8" s="12"/>
      <c r="C8" s="12"/>
      <c r="D8" s="12"/>
      <c r="E8" s="7"/>
      <c r="F8" s="7"/>
      <c r="G8" s="7"/>
      <c r="H8" s="7"/>
      <c r="I8" s="25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</row>
    <row r="9" spans="1:202">
      <c r="A9" s="8" t="s">
        <v>98</v>
      </c>
      <c r="B9" s="39" t="s">
        <v>50</v>
      </c>
      <c r="C9" s="48">
        <v>1000</v>
      </c>
      <c r="D9" s="30"/>
      <c r="E9" s="30"/>
      <c r="F9" s="30"/>
      <c r="G9" s="30"/>
      <c r="H9" s="38"/>
      <c r="I9" s="38"/>
      <c r="J9" s="38"/>
      <c r="K9" s="38"/>
      <c r="L9" s="38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2"/>
      <c r="BG9" s="32"/>
      <c r="BH9" s="32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</row>
    <row r="10" spans="1:202">
      <c r="A10" s="8" t="s">
        <v>99</v>
      </c>
      <c r="B10" s="39" t="s">
        <v>50</v>
      </c>
      <c r="C10" s="48">
        <v>1000</v>
      </c>
      <c r="D10" s="36"/>
      <c r="E10" s="36"/>
      <c r="F10" s="36"/>
      <c r="G10" s="36"/>
      <c r="H10" s="37"/>
      <c r="I10" s="37"/>
      <c r="J10" s="37"/>
      <c r="K10" s="37"/>
      <c r="L10" s="37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2"/>
      <c r="BG10" s="32"/>
      <c r="BH10" s="32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  <c r="DW10" s="33"/>
      <c r="DX10" s="33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3"/>
      <c r="FE10" s="33"/>
      <c r="FF10" s="33"/>
      <c r="FG10" s="33"/>
      <c r="FH10" s="33"/>
      <c r="FI10" s="33"/>
      <c r="FJ10" s="33"/>
      <c r="FK10" s="33"/>
      <c r="FL10" s="33"/>
      <c r="FM10" s="33"/>
      <c r="FN10" s="33"/>
      <c r="FO10" s="33"/>
      <c r="FP10" s="33"/>
      <c r="FQ10" s="33"/>
      <c r="FR10" s="33"/>
      <c r="FS10" s="33"/>
      <c r="FT10" s="33"/>
      <c r="FU10" s="33"/>
      <c r="FV10" s="33"/>
      <c r="FW10" s="33"/>
      <c r="FX10" s="33"/>
      <c r="FY10" s="33"/>
      <c r="FZ10" s="33"/>
      <c r="GA10" s="33"/>
      <c r="GB10" s="33"/>
      <c r="GC10" s="33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33"/>
      <c r="GP10" s="33"/>
      <c r="GQ10" s="33"/>
      <c r="GR10" s="33"/>
      <c r="GS10" s="33"/>
      <c r="GT10" s="33"/>
    </row>
    <row r="11" spans="1:202">
      <c r="A11" s="8" t="s">
        <v>100</v>
      </c>
      <c r="B11" s="39" t="s">
        <v>50</v>
      </c>
      <c r="C11" s="48">
        <v>20</v>
      </c>
      <c r="D11" s="36">
        <v>30</v>
      </c>
      <c r="E11" s="36">
        <v>50</v>
      </c>
      <c r="F11" s="36"/>
      <c r="G11" s="36"/>
      <c r="H11" s="37"/>
      <c r="I11" s="37"/>
      <c r="J11" s="37"/>
      <c r="K11" s="37"/>
      <c r="L11" s="37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2"/>
      <c r="BG11" s="32"/>
      <c r="BH11" s="32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33"/>
      <c r="GP11" s="33"/>
      <c r="GQ11" s="33"/>
      <c r="GR11" s="33"/>
      <c r="GS11" s="33"/>
      <c r="GT11" s="33"/>
    </row>
    <row r="12" spans="1:202">
      <c r="A12" s="12"/>
      <c r="B12" s="8"/>
      <c r="C12" s="8"/>
      <c r="D12" s="8"/>
      <c r="E12" s="8"/>
      <c r="F12" s="8"/>
      <c r="G12" s="13"/>
      <c r="H12" s="13" t="s">
        <v>83</v>
      </c>
      <c r="I12" s="15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</row>
    <row r="13" spans="1:202">
      <c r="A13" s="12" t="s">
        <v>66</v>
      </c>
      <c r="B13" s="10" t="s">
        <v>27</v>
      </c>
      <c r="C13" s="14">
        <v>8325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</row>
    <row r="14" spans="1:202">
      <c r="A14" s="8"/>
      <c r="B14" s="7"/>
      <c r="C14" s="7"/>
      <c r="D14" s="7"/>
      <c r="E14" s="7"/>
      <c r="F14" s="7"/>
      <c r="G14" s="7"/>
      <c r="H14" s="7"/>
      <c r="I14" s="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</row>
    <row r="15" spans="1:202">
      <c r="A15" s="12" t="s">
        <v>28</v>
      </c>
      <c r="B15" s="8"/>
      <c r="C15" s="15"/>
      <c r="D15" s="15"/>
      <c r="E15" s="15"/>
      <c r="F15" s="8"/>
      <c r="G15" s="8"/>
      <c r="H15" s="13"/>
      <c r="I15" s="8"/>
      <c r="J15" s="8"/>
      <c r="K15" s="8"/>
      <c r="L15" s="8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</row>
    <row r="16" spans="1:202">
      <c r="A16" s="12"/>
      <c r="F16" s="8"/>
      <c r="G16" s="8"/>
      <c r="H16" s="13"/>
      <c r="I16" s="8"/>
      <c r="J16" s="8"/>
      <c r="K16" s="8"/>
      <c r="L16" s="8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</row>
    <row r="17" spans="1:202">
      <c r="A17" s="8" t="s">
        <v>54</v>
      </c>
      <c r="B17" s="39" t="s">
        <v>50</v>
      </c>
      <c r="C17" s="49">
        <v>0.30430000000000001</v>
      </c>
      <c r="D17" s="30"/>
      <c r="E17" s="30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</row>
    <row r="18" spans="1:202">
      <c r="A18" s="8" t="s">
        <v>51</v>
      </c>
      <c r="B18" s="39" t="s">
        <v>55</v>
      </c>
      <c r="C18" s="49">
        <v>500</v>
      </c>
      <c r="D18" s="49">
        <v>50</v>
      </c>
      <c r="E18" s="49">
        <v>200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5"/>
      <c r="R18" s="35"/>
      <c r="S18" s="35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  <c r="DW18" s="33"/>
      <c r="DX18" s="33"/>
      <c r="DY18" s="33"/>
      <c r="DZ18" s="33"/>
      <c r="EA18" s="33"/>
      <c r="EB18" s="33"/>
      <c r="EC18" s="33"/>
      <c r="ED18" s="33"/>
      <c r="EE18" s="33"/>
      <c r="EF18" s="33"/>
      <c r="EG18" s="33"/>
      <c r="EH18" s="33"/>
      <c r="EI18" s="33"/>
      <c r="EJ18" s="33"/>
      <c r="EK18" s="33"/>
      <c r="EL18" s="33"/>
      <c r="EM18" s="33"/>
      <c r="EN18" s="33"/>
      <c r="EO18" s="33"/>
      <c r="EP18" s="33"/>
      <c r="EQ18" s="33"/>
      <c r="ER18" s="33"/>
      <c r="ES18" s="33"/>
      <c r="ET18" s="33"/>
      <c r="EU18" s="33"/>
      <c r="EV18" s="33"/>
      <c r="EW18" s="33"/>
      <c r="EX18" s="33"/>
      <c r="EY18" s="33"/>
      <c r="EZ18" s="33"/>
      <c r="FA18" s="33"/>
      <c r="FB18" s="33"/>
      <c r="FC18" s="33"/>
      <c r="FD18" s="33"/>
      <c r="FE18" s="33"/>
      <c r="FF18" s="33"/>
      <c r="FG18" s="33"/>
      <c r="FH18" s="33"/>
      <c r="FI18" s="33"/>
      <c r="FJ18" s="33"/>
      <c r="FK18" s="33"/>
      <c r="FL18" s="33"/>
      <c r="FM18" s="33"/>
      <c r="FN18" s="33"/>
      <c r="FO18" s="33"/>
      <c r="FP18" s="33"/>
      <c r="FQ18" s="33"/>
      <c r="FR18" s="33"/>
      <c r="FS18" s="33"/>
      <c r="FT18" s="33"/>
      <c r="FU18" s="33"/>
      <c r="FV18" s="33"/>
      <c r="FW18" s="33"/>
      <c r="FX18" s="33"/>
      <c r="FY18" s="33"/>
      <c r="FZ18" s="33"/>
      <c r="GA18" s="33"/>
      <c r="GB18" s="33"/>
      <c r="GC18" s="33"/>
      <c r="GD18" s="33"/>
      <c r="GE18" s="33"/>
      <c r="GF18" s="33"/>
      <c r="GG18" s="33"/>
      <c r="GH18" s="33"/>
      <c r="GI18" s="33"/>
      <c r="GJ18" s="33"/>
      <c r="GK18" s="33"/>
      <c r="GL18" s="33"/>
      <c r="GM18" s="33"/>
      <c r="GN18" s="33"/>
      <c r="GO18" s="33"/>
      <c r="GP18" s="33"/>
      <c r="GQ18" s="33"/>
      <c r="GR18" s="33"/>
      <c r="GS18" s="33"/>
      <c r="GT18" s="33"/>
    </row>
    <row r="19" spans="1:202">
      <c r="A19" s="8" t="s">
        <v>52</v>
      </c>
      <c r="B19" s="39" t="s">
        <v>55</v>
      </c>
      <c r="C19" s="49">
        <v>500</v>
      </c>
      <c r="D19" s="49">
        <v>50</v>
      </c>
      <c r="E19" s="49">
        <v>200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5"/>
      <c r="R19" s="35"/>
      <c r="S19" s="35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  <c r="DW19" s="33"/>
      <c r="DX19" s="33"/>
      <c r="DY19" s="33"/>
      <c r="DZ19" s="33"/>
      <c r="EA19" s="33"/>
      <c r="EB19" s="33"/>
      <c r="EC19" s="33"/>
      <c r="ED19" s="33"/>
      <c r="EE19" s="33"/>
      <c r="EF19" s="33"/>
      <c r="EG19" s="33"/>
      <c r="EH19" s="33"/>
      <c r="EI19" s="33"/>
      <c r="EJ19" s="33"/>
      <c r="EK19" s="33"/>
      <c r="EL19" s="33"/>
      <c r="EM19" s="33"/>
      <c r="EN19" s="33"/>
      <c r="EO19" s="33"/>
      <c r="EP19" s="33"/>
      <c r="EQ19" s="33"/>
      <c r="ER19" s="33"/>
      <c r="ES19" s="33"/>
      <c r="ET19" s="33"/>
      <c r="EU19" s="33"/>
      <c r="EV19" s="33"/>
      <c r="EW19" s="33"/>
      <c r="EX19" s="33"/>
      <c r="EY19" s="33"/>
      <c r="EZ19" s="33"/>
      <c r="FA19" s="33"/>
      <c r="FB19" s="33"/>
      <c r="FC19" s="33"/>
      <c r="FD19" s="33"/>
      <c r="FE19" s="33"/>
      <c r="FF19" s="33"/>
      <c r="FG19" s="33"/>
      <c r="FH19" s="33"/>
      <c r="FI19" s="33"/>
      <c r="FJ19" s="33"/>
      <c r="FK19" s="33"/>
      <c r="FL19" s="33"/>
      <c r="FM19" s="33"/>
      <c r="FN19" s="33"/>
      <c r="FO19" s="33"/>
      <c r="FP19" s="33"/>
      <c r="FQ19" s="33"/>
      <c r="FR19" s="33"/>
      <c r="FS19" s="33"/>
      <c r="FT19" s="33"/>
      <c r="FU19" s="33"/>
      <c r="FV19" s="33"/>
      <c r="FW19" s="33"/>
      <c r="FX19" s="33"/>
      <c r="FY19" s="33"/>
      <c r="FZ19" s="33"/>
      <c r="GA19" s="33"/>
      <c r="GB19" s="33"/>
      <c r="GC19" s="33"/>
      <c r="GD19" s="33"/>
      <c r="GE19" s="33"/>
      <c r="GF19" s="33"/>
      <c r="GG19" s="33"/>
      <c r="GH19" s="33"/>
      <c r="GI19" s="33"/>
      <c r="GJ19" s="33"/>
      <c r="GK19" s="33"/>
      <c r="GL19" s="33"/>
      <c r="GM19" s="33"/>
      <c r="GN19" s="33"/>
      <c r="GO19" s="33"/>
      <c r="GP19" s="33"/>
      <c r="GQ19" s="33"/>
      <c r="GR19" s="33"/>
      <c r="GS19" s="33"/>
      <c r="GT19" s="33"/>
    </row>
    <row r="20" spans="1:202">
      <c r="A20" s="8" t="s">
        <v>53</v>
      </c>
      <c r="B20" s="39" t="s">
        <v>55</v>
      </c>
      <c r="C20" s="49">
        <v>60</v>
      </c>
      <c r="D20" s="49">
        <v>45</v>
      </c>
      <c r="E20" s="49">
        <v>19.75</v>
      </c>
      <c r="F20" s="34"/>
      <c r="G20" s="34"/>
      <c r="H20" s="34"/>
      <c r="I20" s="30"/>
      <c r="J20" s="34"/>
      <c r="K20" s="34"/>
      <c r="L20" s="34"/>
      <c r="M20" s="34"/>
      <c r="N20" s="34"/>
      <c r="O20" s="34"/>
      <c r="P20" s="34"/>
      <c r="Q20" s="35"/>
      <c r="R20" s="35"/>
      <c r="S20" s="35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</row>
    <row r="23" spans="1:202">
      <c r="A23" s="51" t="s">
        <v>60</v>
      </c>
      <c r="B23" s="22"/>
      <c r="C23" s="17"/>
      <c r="D23" s="17"/>
      <c r="E23" s="17"/>
      <c r="F23" s="17"/>
      <c r="G23" s="17"/>
      <c r="H23" s="17"/>
      <c r="I23" s="8"/>
      <c r="J23" s="17"/>
      <c r="K23" s="17"/>
      <c r="L23" s="17"/>
      <c r="M23" s="17"/>
      <c r="N23" s="17"/>
      <c r="O23" s="17"/>
      <c r="P23" s="17"/>
    </row>
    <row r="24" spans="1:202">
      <c r="A24" s="12" t="s">
        <v>35</v>
      </c>
      <c r="D24" s="17"/>
      <c r="E24" s="17"/>
      <c r="F24" s="17"/>
      <c r="G24" s="7"/>
      <c r="H24" s="13"/>
      <c r="I24" s="13"/>
      <c r="J24" s="13"/>
      <c r="K24" s="13"/>
      <c r="L24" s="13"/>
      <c r="M24" s="13"/>
      <c r="N24" s="13"/>
      <c r="O24" s="13"/>
      <c r="P24" s="13"/>
    </row>
    <row r="25" spans="1:202">
      <c r="A25" s="12"/>
      <c r="D25" s="17"/>
      <c r="E25" s="17"/>
      <c r="F25" s="17"/>
      <c r="G25" s="7"/>
      <c r="H25" s="13"/>
      <c r="I25" s="13"/>
      <c r="J25" s="13"/>
      <c r="K25" s="13"/>
      <c r="L25" s="13"/>
      <c r="M25" s="13"/>
      <c r="N25" s="13"/>
      <c r="O25" s="13"/>
      <c r="P25" s="13"/>
    </row>
    <row r="26" spans="1:202">
      <c r="A26" s="12" t="s">
        <v>36</v>
      </c>
      <c r="B26" s="49">
        <v>4014.7</v>
      </c>
      <c r="C26" s="17"/>
      <c r="D26" s="17"/>
      <c r="E26" s="17"/>
      <c r="F26" s="17"/>
      <c r="G26" s="7"/>
      <c r="H26" s="13"/>
      <c r="I26" s="13"/>
      <c r="J26" s="13"/>
      <c r="K26" s="13"/>
      <c r="L26" s="13"/>
      <c r="M26" s="13"/>
      <c r="N26" s="13"/>
      <c r="O26" s="7"/>
      <c r="P26" s="7"/>
    </row>
    <row r="27" spans="1:202">
      <c r="A27" s="12" t="s">
        <v>74</v>
      </c>
      <c r="B27" s="49">
        <v>1.7200000000000001E-5</v>
      </c>
      <c r="C27" s="17"/>
      <c r="D27" s="17"/>
      <c r="E27" s="17"/>
      <c r="F27" s="17"/>
      <c r="G27" s="7"/>
      <c r="H27" s="13"/>
      <c r="I27" s="13"/>
      <c r="J27" s="13"/>
      <c r="K27" s="13"/>
      <c r="L27" s="13"/>
      <c r="M27" s="13"/>
      <c r="N27" s="13"/>
      <c r="O27" s="7"/>
      <c r="P27" s="7"/>
    </row>
    <row r="28" spans="1:202">
      <c r="A28" s="12" t="s">
        <v>75</v>
      </c>
      <c r="B28" s="49">
        <f>-0.00004</f>
        <v>-4.0000000000000003E-5</v>
      </c>
      <c r="C28" s="17"/>
      <c r="D28" s="17"/>
      <c r="E28" s="17"/>
      <c r="F28" s="17"/>
      <c r="G28" s="7"/>
      <c r="H28" s="13"/>
      <c r="I28" s="13"/>
      <c r="J28" s="13"/>
      <c r="K28" s="13"/>
      <c r="L28" s="13"/>
      <c r="M28" s="13"/>
      <c r="N28" s="13"/>
      <c r="O28" s="7"/>
      <c r="P28" s="7"/>
    </row>
    <row r="29" spans="1:202">
      <c r="C29" s="7"/>
      <c r="D29" s="7"/>
      <c r="E29" s="7"/>
      <c r="F29" s="7"/>
      <c r="G29" s="7"/>
      <c r="H29" s="13"/>
      <c r="I29" s="13"/>
      <c r="J29" s="13"/>
      <c r="K29" s="13"/>
      <c r="L29" s="13"/>
      <c r="M29" s="13"/>
      <c r="N29" s="13"/>
      <c r="O29" s="7"/>
      <c r="P29" s="7"/>
    </row>
    <row r="30" spans="1:202">
      <c r="A30" s="12" t="s">
        <v>59</v>
      </c>
      <c r="B30" s="9" t="s">
        <v>34</v>
      </c>
      <c r="C30" s="9" t="s">
        <v>37</v>
      </c>
      <c r="D30" s="9" t="s">
        <v>38</v>
      </c>
      <c r="E30" s="9" t="s">
        <v>39</v>
      </c>
      <c r="F30" s="21"/>
      <c r="G30" s="8"/>
      <c r="H30" s="13"/>
      <c r="I30" s="13"/>
      <c r="J30" s="13"/>
      <c r="K30" s="13"/>
      <c r="L30" s="13"/>
      <c r="M30" s="13"/>
      <c r="N30" s="13"/>
      <c r="O30" s="13"/>
      <c r="P30" s="13"/>
    </row>
    <row r="31" spans="1:202">
      <c r="A31" s="18"/>
      <c r="B31" s="14">
        <v>14.7</v>
      </c>
      <c r="C31" s="14">
        <v>1.04</v>
      </c>
      <c r="D31" s="72">
        <v>1.0620000000000001</v>
      </c>
      <c r="E31" s="14">
        <v>1</v>
      </c>
      <c r="F31" s="8"/>
      <c r="G31" s="8"/>
      <c r="H31" s="13"/>
      <c r="I31" s="13"/>
      <c r="J31" s="13"/>
      <c r="K31" s="13"/>
      <c r="L31" s="13"/>
      <c r="M31" s="13"/>
      <c r="N31" s="13"/>
      <c r="O31" s="13"/>
      <c r="P31" s="13"/>
    </row>
    <row r="32" spans="1:202">
      <c r="A32" s="18"/>
      <c r="B32" s="14">
        <v>264.7</v>
      </c>
      <c r="C32" s="14">
        <v>0.97499999999999998</v>
      </c>
      <c r="D32" s="72">
        <v>1.1499999999999999</v>
      </c>
      <c r="E32" s="14">
        <v>90.5</v>
      </c>
      <c r="F32" s="8"/>
      <c r="G32" s="8"/>
      <c r="H32" s="13"/>
      <c r="I32" s="13"/>
      <c r="J32" s="13"/>
      <c r="K32" s="13"/>
      <c r="L32" s="13"/>
      <c r="M32" s="13"/>
      <c r="N32" s="13"/>
      <c r="O32" s="13"/>
      <c r="P32" s="13"/>
    </row>
    <row r="33" spans="1:16">
      <c r="A33" s="18"/>
      <c r="B33" s="14">
        <v>514.70000000000005</v>
      </c>
      <c r="C33" s="14">
        <v>0.91</v>
      </c>
      <c r="D33" s="72">
        <v>1.2070000000000001</v>
      </c>
      <c r="E33" s="14">
        <v>180</v>
      </c>
      <c r="F33" s="8"/>
      <c r="G33" s="8"/>
      <c r="H33" s="13"/>
      <c r="I33" s="13"/>
      <c r="J33" s="13"/>
      <c r="K33" s="13"/>
      <c r="L33" s="13"/>
      <c r="M33" s="13"/>
      <c r="N33" s="13"/>
      <c r="O33" s="13"/>
      <c r="P33" s="13"/>
    </row>
    <row r="34" spans="1:16">
      <c r="A34" s="18"/>
      <c r="B34" s="14">
        <v>1014.7</v>
      </c>
      <c r="C34" s="14">
        <v>0.83</v>
      </c>
      <c r="D34" s="72">
        <v>1.2949999999999999</v>
      </c>
      <c r="E34" s="14">
        <v>371</v>
      </c>
      <c r="F34" s="8"/>
      <c r="G34" s="8"/>
      <c r="H34" s="13"/>
      <c r="I34" s="13"/>
      <c r="J34" s="13"/>
      <c r="K34" s="13"/>
      <c r="L34" s="13"/>
      <c r="M34" s="13"/>
      <c r="N34" s="13"/>
      <c r="O34" s="13"/>
      <c r="P34" s="13"/>
    </row>
    <row r="35" spans="1:16">
      <c r="A35" s="18"/>
      <c r="B35" s="14">
        <v>2014.7</v>
      </c>
      <c r="C35" s="14">
        <v>0.69499999999999995</v>
      </c>
      <c r="D35" s="72">
        <v>1.4350000000000001</v>
      </c>
      <c r="E35" s="14">
        <v>636</v>
      </c>
      <c r="F35" s="8"/>
      <c r="G35" s="8"/>
      <c r="H35" s="13"/>
      <c r="I35" s="13"/>
      <c r="J35" s="13"/>
      <c r="K35" s="13"/>
      <c r="L35" s="13"/>
      <c r="M35" s="13"/>
      <c r="N35" s="13"/>
      <c r="O35" s="13"/>
      <c r="P35" s="13"/>
    </row>
    <row r="36" spans="1:16">
      <c r="A36" s="18"/>
      <c r="B36" s="14">
        <v>2514</v>
      </c>
      <c r="C36" s="14">
        <v>0.64100000000000001</v>
      </c>
      <c r="D36" s="72">
        <v>1.5</v>
      </c>
      <c r="E36" s="14">
        <v>775</v>
      </c>
      <c r="F36" s="8"/>
      <c r="G36" s="8"/>
      <c r="H36" s="13"/>
      <c r="I36" s="13"/>
      <c r="J36" s="13"/>
      <c r="K36" s="13"/>
      <c r="L36" s="13"/>
      <c r="M36" s="13"/>
      <c r="N36" s="13"/>
      <c r="O36" s="13"/>
      <c r="P36" s="13"/>
    </row>
    <row r="37" spans="1:16">
      <c r="A37" s="18"/>
      <c r="B37" s="14">
        <v>3014.7</v>
      </c>
      <c r="C37" s="14">
        <v>0.59399999999999997</v>
      </c>
      <c r="D37" s="72">
        <v>1.5649999999999999</v>
      </c>
      <c r="E37" s="14">
        <v>930</v>
      </c>
      <c r="F37" s="8"/>
      <c r="G37" s="8"/>
      <c r="H37" s="13"/>
      <c r="I37" s="13"/>
      <c r="J37" s="13"/>
      <c r="K37" s="13"/>
      <c r="L37" s="13"/>
      <c r="M37" s="13"/>
      <c r="N37" s="13"/>
      <c r="O37" s="13"/>
      <c r="P37" s="13"/>
    </row>
    <row r="38" spans="1:16">
      <c r="A38" s="18"/>
      <c r="B38" s="14">
        <v>4014.7</v>
      </c>
      <c r="C38" s="14">
        <v>0.51</v>
      </c>
      <c r="D38" s="72">
        <v>1.6950000000000001</v>
      </c>
      <c r="E38" s="14">
        <v>1270</v>
      </c>
      <c r="F38" s="8"/>
      <c r="G38" s="8"/>
      <c r="H38" s="13"/>
      <c r="I38" s="13"/>
      <c r="J38" s="13"/>
      <c r="K38" s="13"/>
      <c r="L38" s="13"/>
      <c r="M38" s="13"/>
      <c r="N38" s="13"/>
      <c r="O38" s="13"/>
      <c r="P38" s="13"/>
    </row>
    <row r="39" spans="1:16">
      <c r="A39" s="18"/>
      <c r="B39" s="14">
        <v>5014.7</v>
      </c>
      <c r="C39" s="14">
        <v>0.44900000000000001</v>
      </c>
      <c r="D39" s="72">
        <v>1.827</v>
      </c>
      <c r="E39" s="14">
        <v>1618</v>
      </c>
      <c r="F39" s="8"/>
      <c r="G39" s="8"/>
      <c r="H39" s="13"/>
      <c r="I39" s="13"/>
      <c r="J39" s="13"/>
      <c r="K39" s="13"/>
      <c r="L39" s="13"/>
      <c r="M39" s="13"/>
      <c r="N39" s="13"/>
      <c r="O39" s="13"/>
      <c r="P39" s="13"/>
    </row>
    <row r="40" spans="1:16">
      <c r="A40" s="18"/>
      <c r="B40" s="14">
        <v>9014.7000000000007</v>
      </c>
      <c r="C40" s="14">
        <v>0.20300000000000001</v>
      </c>
      <c r="D40" s="72">
        <v>2.3570000000000002</v>
      </c>
      <c r="E40" s="14">
        <v>2984</v>
      </c>
      <c r="F40" s="8"/>
      <c r="G40" s="8"/>
      <c r="H40" s="13"/>
      <c r="I40" s="13"/>
      <c r="J40" s="13"/>
      <c r="K40" s="13"/>
      <c r="L40" s="13"/>
      <c r="M40" s="13"/>
      <c r="N40" s="13"/>
      <c r="O40" s="13"/>
      <c r="P40" s="13"/>
    </row>
    <row r="41" spans="1:16">
      <c r="B41" s="18"/>
      <c r="C41" s="7"/>
      <c r="D41" s="7"/>
      <c r="E41" s="7"/>
      <c r="F41" s="7"/>
      <c r="G41" s="7"/>
      <c r="H41" s="13"/>
      <c r="I41" s="13"/>
      <c r="J41" s="13"/>
      <c r="K41" s="13"/>
      <c r="L41" s="13"/>
      <c r="M41" s="13"/>
      <c r="N41" s="13"/>
      <c r="O41" s="7"/>
      <c r="P41" s="7"/>
    </row>
    <row r="42" spans="1:16">
      <c r="A42" s="12" t="s">
        <v>40</v>
      </c>
      <c r="B42" s="9" t="s">
        <v>34</v>
      </c>
      <c r="C42" s="9" t="s">
        <v>41</v>
      </c>
      <c r="D42" s="9" t="s">
        <v>42</v>
      </c>
      <c r="E42" s="7"/>
      <c r="F42" s="8"/>
      <c r="G42" s="8"/>
      <c r="H42" s="13"/>
      <c r="I42" s="7"/>
      <c r="J42" s="13"/>
      <c r="K42" s="13"/>
      <c r="L42" s="13"/>
      <c r="M42" s="13"/>
      <c r="N42" s="13"/>
      <c r="O42" s="13"/>
      <c r="P42" s="13"/>
    </row>
    <row r="43" spans="1:16">
      <c r="A43" s="18"/>
      <c r="B43" s="14">
        <v>14.7</v>
      </c>
      <c r="C43" s="14">
        <v>0.31</v>
      </c>
      <c r="D43" s="14">
        <v>1.0409999999999999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</row>
    <row r="44" spans="1:16">
      <c r="A44" s="18"/>
      <c r="B44" s="18"/>
      <c r="C44" s="22"/>
      <c r="D44" s="22"/>
      <c r="E44" s="22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</row>
    <row r="45" spans="1:16">
      <c r="B45" s="18"/>
      <c r="C45" s="7"/>
      <c r="D45" s="7"/>
      <c r="E45" s="7"/>
      <c r="F45" s="7"/>
      <c r="G45" s="7"/>
      <c r="H45" s="7"/>
      <c r="I45" s="8"/>
      <c r="J45" s="7"/>
      <c r="K45" s="7"/>
      <c r="L45" s="7"/>
      <c r="M45" s="7"/>
      <c r="N45" s="7"/>
      <c r="O45" s="7"/>
      <c r="P45" s="7"/>
    </row>
    <row r="46" spans="1:16">
      <c r="A46" s="12" t="s">
        <v>43</v>
      </c>
      <c r="B46" s="9" t="s">
        <v>34</v>
      </c>
      <c r="C46" s="9" t="s">
        <v>44</v>
      </c>
      <c r="D46" s="9" t="s">
        <v>45</v>
      </c>
      <c r="E46" s="8"/>
      <c r="F46" s="8"/>
      <c r="G46" s="8"/>
      <c r="H46" s="8"/>
      <c r="I46" s="8"/>
      <c r="J46" s="8"/>
      <c r="K46" s="8"/>
      <c r="L46" s="8"/>
      <c r="M46" s="13"/>
      <c r="N46" s="13"/>
      <c r="O46" s="13"/>
      <c r="P46" s="13"/>
    </row>
    <row r="47" spans="1:16">
      <c r="A47" s="18"/>
      <c r="B47" s="14">
        <v>14.7</v>
      </c>
      <c r="C47" s="23">
        <v>8.0000000000000002E-3</v>
      </c>
      <c r="D47" s="72">
        <v>0.16667000000000001</v>
      </c>
      <c r="E47" s="15"/>
      <c r="F47" s="8"/>
      <c r="G47" s="8"/>
      <c r="H47" s="8"/>
      <c r="I47" s="8"/>
      <c r="J47" s="8"/>
      <c r="K47" s="8"/>
      <c r="L47" s="8"/>
      <c r="M47" s="13"/>
      <c r="N47" s="13"/>
      <c r="O47" s="13"/>
      <c r="P47" s="13"/>
    </row>
    <row r="48" spans="1:16">
      <c r="A48" s="18"/>
      <c r="B48" s="14">
        <v>264.7</v>
      </c>
      <c r="C48" s="23">
        <v>9.5999999999999992E-3</v>
      </c>
      <c r="D48" s="72">
        <v>1.2093E-2</v>
      </c>
      <c r="E48" s="15"/>
      <c r="F48" s="8"/>
      <c r="G48" s="8"/>
      <c r="H48" s="8"/>
      <c r="I48" s="8"/>
      <c r="J48" s="8"/>
      <c r="K48" s="8"/>
      <c r="L48" s="8"/>
      <c r="M48" s="13"/>
      <c r="N48" s="13"/>
      <c r="O48" s="13"/>
      <c r="P48" s="13"/>
    </row>
    <row r="49" spans="1:16">
      <c r="A49" s="18"/>
      <c r="B49" s="14">
        <v>514.70000000000005</v>
      </c>
      <c r="C49" s="23">
        <v>1.12E-2</v>
      </c>
      <c r="D49" s="72">
        <v>6.2740000000000001E-3</v>
      </c>
      <c r="E49" s="15"/>
      <c r="F49" s="8"/>
      <c r="G49" s="8"/>
      <c r="H49" s="8"/>
      <c r="I49" s="8"/>
      <c r="J49" s="8"/>
      <c r="K49" s="8"/>
      <c r="L49" s="8"/>
      <c r="M49" s="13"/>
      <c r="N49" s="13"/>
      <c r="O49" s="13"/>
      <c r="P49" s="13"/>
    </row>
    <row r="50" spans="1:16">
      <c r="A50" s="18"/>
      <c r="B50" s="14">
        <v>1014.7</v>
      </c>
      <c r="C50" s="23">
        <v>1.4E-2</v>
      </c>
      <c r="D50" s="72">
        <v>3.1970000000000002E-3</v>
      </c>
      <c r="E50" s="15"/>
      <c r="F50" s="8"/>
      <c r="G50" s="8"/>
      <c r="H50" s="8"/>
      <c r="I50" s="8"/>
      <c r="J50" s="8"/>
      <c r="K50" s="8"/>
      <c r="L50" s="8"/>
      <c r="M50" s="13"/>
      <c r="N50" s="13"/>
      <c r="O50" s="13"/>
      <c r="P50" s="13"/>
    </row>
    <row r="51" spans="1:16">
      <c r="A51" s="18"/>
      <c r="B51" s="14">
        <v>2014.7</v>
      </c>
      <c r="C51" s="23">
        <v>1.89E-2</v>
      </c>
      <c r="D51" s="72">
        <v>1.614E-3</v>
      </c>
      <c r="E51" s="15"/>
      <c r="F51" s="8"/>
      <c r="G51" s="8"/>
      <c r="H51" s="8"/>
      <c r="I51" s="8"/>
      <c r="J51" s="8"/>
      <c r="K51" s="8"/>
      <c r="L51" s="8"/>
      <c r="M51" s="13"/>
      <c r="N51" s="13"/>
      <c r="O51" s="13"/>
      <c r="P51" s="13"/>
    </row>
    <row r="52" spans="1:16">
      <c r="A52" s="18"/>
      <c r="B52" s="14">
        <v>2514</v>
      </c>
      <c r="C52" s="23">
        <v>2.0799999999999999E-2</v>
      </c>
      <c r="D52" s="72">
        <v>1.294E-3</v>
      </c>
      <c r="E52" s="15"/>
      <c r="F52" s="8"/>
      <c r="G52" s="8"/>
      <c r="H52" s="8"/>
      <c r="I52" s="8"/>
      <c r="J52" s="8"/>
      <c r="K52" s="8"/>
      <c r="L52" s="8"/>
      <c r="M52" s="13"/>
      <c r="N52" s="13"/>
      <c r="O52" s="13"/>
      <c r="P52" s="13"/>
    </row>
    <row r="53" spans="1:16">
      <c r="A53" s="18"/>
      <c r="B53" s="14">
        <v>3014.7</v>
      </c>
      <c r="C53" s="23">
        <v>2.2800000000000001E-2</v>
      </c>
      <c r="D53" s="72">
        <v>1.08E-3</v>
      </c>
      <c r="E53" s="15"/>
      <c r="F53" s="8"/>
      <c r="G53" s="8"/>
      <c r="H53" s="8"/>
      <c r="I53" s="8"/>
      <c r="J53" s="8"/>
      <c r="K53" s="8"/>
      <c r="L53" s="8"/>
      <c r="M53" s="13"/>
      <c r="N53" s="13"/>
      <c r="O53" s="13"/>
      <c r="P53" s="13"/>
    </row>
    <row r="54" spans="1:16">
      <c r="A54" s="18"/>
      <c r="B54" s="14">
        <v>4014.7</v>
      </c>
      <c r="C54" s="23">
        <v>2.6800000000000001E-2</v>
      </c>
      <c r="D54" s="72">
        <v>8.1099999999999998E-4</v>
      </c>
      <c r="E54" s="15"/>
      <c r="F54" s="8"/>
      <c r="G54" s="8"/>
      <c r="H54" s="8"/>
      <c r="I54" s="8"/>
      <c r="J54" s="8"/>
      <c r="K54" s="8"/>
      <c r="L54" s="8"/>
      <c r="M54" s="13"/>
      <c r="N54" s="13"/>
      <c r="O54" s="13"/>
      <c r="P54" s="13"/>
    </row>
    <row r="55" spans="1:16">
      <c r="A55" s="18"/>
      <c r="B55" s="14">
        <v>5014.7</v>
      </c>
      <c r="C55" s="23">
        <v>3.09E-2</v>
      </c>
      <c r="D55" s="72">
        <v>6.4899999999999995E-4</v>
      </c>
      <c r="E55" s="15"/>
      <c r="F55" s="8"/>
      <c r="G55" s="8"/>
      <c r="H55" s="8"/>
      <c r="I55" s="8"/>
      <c r="J55" s="8"/>
      <c r="K55" s="8"/>
      <c r="L55" s="8"/>
      <c r="M55" s="13"/>
      <c r="N55" s="13"/>
      <c r="O55" s="13"/>
      <c r="P55" s="13"/>
    </row>
    <row r="56" spans="1:16">
      <c r="A56" s="18"/>
      <c r="B56" s="14">
        <v>9014.7000000000007</v>
      </c>
      <c r="C56" s="23">
        <v>4.7E-2</v>
      </c>
      <c r="D56" s="72">
        <v>3.86E-4</v>
      </c>
      <c r="E56" s="15"/>
      <c r="F56" s="8"/>
      <c r="G56" s="8"/>
      <c r="H56" s="8"/>
      <c r="I56" s="8"/>
      <c r="J56" s="8"/>
      <c r="K56" s="8"/>
      <c r="L56" s="8"/>
      <c r="M56" s="13"/>
      <c r="N56" s="13"/>
      <c r="O56" s="13"/>
      <c r="P56" s="13"/>
    </row>
    <row r="57" spans="1:16">
      <c r="A57" s="18"/>
      <c r="B57" s="15"/>
      <c r="C57" s="15"/>
      <c r="D57" s="15"/>
      <c r="E57" s="15"/>
      <c r="F57" s="8"/>
      <c r="G57" s="8"/>
      <c r="H57" s="8"/>
      <c r="I57" s="8"/>
      <c r="J57" s="8"/>
      <c r="K57" s="8"/>
      <c r="L57" s="8"/>
      <c r="M57" s="13"/>
      <c r="N57" s="13"/>
      <c r="O57" s="13"/>
      <c r="P57" s="13"/>
    </row>
    <row r="58" spans="1:16">
      <c r="A58" s="12" t="s">
        <v>46</v>
      </c>
      <c r="B58" s="9" t="s">
        <v>47</v>
      </c>
      <c r="C58" s="9" t="s">
        <v>48</v>
      </c>
      <c r="D58" s="9" t="s">
        <v>49</v>
      </c>
      <c r="E58" s="8"/>
      <c r="F58" s="8"/>
      <c r="G58" s="8"/>
      <c r="H58" s="8"/>
      <c r="I58" s="7"/>
      <c r="J58" s="8"/>
      <c r="K58" s="8"/>
      <c r="L58" s="8"/>
      <c r="M58" s="13"/>
      <c r="N58" s="13"/>
      <c r="O58" s="13"/>
      <c r="P58" s="13"/>
    </row>
    <row r="59" spans="1:16">
      <c r="A59" s="7"/>
      <c r="B59" s="14">
        <v>51.14</v>
      </c>
      <c r="C59" s="14">
        <v>65</v>
      </c>
      <c r="D59" s="14">
        <v>5.8000000000000003E-2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</row>
    <row r="60" spans="1:16">
      <c r="A60" s="18"/>
      <c r="B60" s="13"/>
      <c r="C60" s="13"/>
      <c r="D60" s="13"/>
      <c r="E60" s="13"/>
      <c r="F60" s="13"/>
      <c r="G60" s="13"/>
      <c r="H60" s="8"/>
      <c r="I60" s="15"/>
      <c r="J60" s="15"/>
      <c r="K60" s="15"/>
      <c r="L60" s="15"/>
      <c r="M60" s="13"/>
      <c r="N60" s="13"/>
      <c r="O60" s="13"/>
      <c r="P60" s="13"/>
    </row>
    <row r="61" spans="1:16">
      <c r="B61" s="18"/>
      <c r="C61" s="7"/>
      <c r="D61" s="7"/>
      <c r="E61" s="7"/>
      <c r="F61" s="7"/>
      <c r="G61" s="7"/>
      <c r="H61" s="7"/>
      <c r="I61" s="20"/>
      <c r="J61" s="7"/>
      <c r="K61" s="7"/>
      <c r="L61" s="7"/>
      <c r="M61" s="7"/>
      <c r="N61" s="7"/>
      <c r="O61" s="7"/>
      <c r="P61" s="7"/>
    </row>
    <row r="62" spans="1:16">
      <c r="A62" s="12" t="s">
        <v>72</v>
      </c>
      <c r="B62" s="13" t="s">
        <v>73</v>
      </c>
      <c r="C62" s="24">
        <v>3.0000000000000001E-6</v>
      </c>
      <c r="D62" s="13"/>
      <c r="E62" s="8"/>
      <c r="F62" s="8"/>
      <c r="G62" s="8"/>
      <c r="H62" s="8"/>
      <c r="I62" s="20"/>
      <c r="J62" s="8"/>
      <c r="K62" s="13"/>
      <c r="L62" s="13"/>
      <c r="M62" s="13"/>
      <c r="N62" s="13"/>
      <c r="O62" s="13"/>
      <c r="P62" s="13"/>
    </row>
    <row r="63" spans="1:16">
      <c r="A63" s="18"/>
      <c r="B63" s="18"/>
      <c r="D63" s="18"/>
      <c r="E63" s="7"/>
      <c r="F63" s="7"/>
      <c r="G63" s="7"/>
      <c r="H63" s="7"/>
      <c r="I63" s="20"/>
      <c r="J63" s="7"/>
      <c r="K63" s="16"/>
      <c r="L63" s="16"/>
      <c r="M63" s="7"/>
      <c r="N63" s="7"/>
      <c r="O63" s="7"/>
      <c r="P63" s="7"/>
    </row>
    <row r="64" spans="1:16">
      <c r="A64" s="18"/>
      <c r="B64" s="22"/>
      <c r="C64" s="50"/>
      <c r="D64" s="50"/>
      <c r="E64" s="7"/>
      <c r="F64" s="7"/>
      <c r="G64" s="7"/>
      <c r="H64" s="7"/>
      <c r="I64" s="13"/>
      <c r="J64" s="7"/>
      <c r="K64" s="16"/>
      <c r="L64" s="16"/>
      <c r="M64" s="7"/>
      <c r="N64" s="7"/>
      <c r="O64" s="7"/>
      <c r="P64" s="7"/>
    </row>
    <row r="65" spans="1:16">
      <c r="A65" s="12" t="s">
        <v>29</v>
      </c>
      <c r="B65" s="11" t="s">
        <v>30</v>
      </c>
      <c r="C65" s="9" t="s">
        <v>31</v>
      </c>
      <c r="D65" s="9" t="s">
        <v>32</v>
      </c>
      <c r="E65" s="9" t="s">
        <v>33</v>
      </c>
      <c r="F65" s="7"/>
      <c r="G65" s="17"/>
      <c r="H65" s="7"/>
      <c r="I65" s="7"/>
      <c r="J65" s="7"/>
      <c r="K65" s="7"/>
      <c r="L65" s="7"/>
      <c r="M65" s="7"/>
      <c r="N65" s="7"/>
      <c r="O65" s="7"/>
      <c r="P65" s="7"/>
    </row>
    <row r="66" spans="1:16">
      <c r="A66" s="7"/>
      <c r="B66" s="14">
        <v>0.12</v>
      </c>
      <c r="C66" s="14">
        <v>0</v>
      </c>
      <c r="D66" s="14">
        <v>1</v>
      </c>
      <c r="E66" s="14">
        <v>0</v>
      </c>
      <c r="F66" s="7"/>
      <c r="G66" s="17"/>
      <c r="H66" s="8"/>
      <c r="I66" s="7"/>
      <c r="J66" s="7"/>
      <c r="K66" s="7"/>
      <c r="L66" s="7"/>
      <c r="M66" s="13"/>
      <c r="N66" s="13"/>
      <c r="O66" s="13"/>
      <c r="P66" s="13"/>
    </row>
    <row r="67" spans="1:16">
      <c r="A67" s="18"/>
      <c r="B67" s="14">
        <v>0.98</v>
      </c>
      <c r="C67" s="14">
        <v>0</v>
      </c>
      <c r="D67" s="14">
        <v>1</v>
      </c>
      <c r="E67" s="14">
        <v>0</v>
      </c>
      <c r="F67" s="13"/>
      <c r="G67" s="17"/>
      <c r="H67" s="8"/>
      <c r="I67" s="15"/>
      <c r="J67" s="15"/>
      <c r="K67" s="15"/>
      <c r="L67" s="15"/>
      <c r="M67" s="13"/>
      <c r="N67" s="13"/>
      <c r="O67" s="13"/>
      <c r="P67" s="13"/>
    </row>
    <row r="68" spans="1:16">
      <c r="A68" s="18"/>
      <c r="B68" s="14">
        <v>0.99</v>
      </c>
      <c r="C68" s="14">
        <v>0</v>
      </c>
      <c r="D68" s="14">
        <v>1</v>
      </c>
      <c r="E68" s="14">
        <v>0</v>
      </c>
      <c r="F68" s="13"/>
      <c r="G68" s="17"/>
      <c r="H68" s="8"/>
      <c r="I68" s="15"/>
      <c r="J68" s="15"/>
      <c r="K68" s="15"/>
      <c r="L68" s="15"/>
      <c r="M68" s="13"/>
      <c r="N68" s="13"/>
      <c r="O68" s="13"/>
      <c r="P68" s="13"/>
    </row>
    <row r="69" spans="1:16">
      <c r="A69" s="18"/>
      <c r="B69" s="14">
        <v>1</v>
      </c>
      <c r="C69" s="14">
        <v>1</v>
      </c>
      <c r="D69" s="14">
        <v>0</v>
      </c>
      <c r="E69" s="14">
        <v>0</v>
      </c>
      <c r="F69" s="13"/>
      <c r="G69" s="17"/>
      <c r="H69" s="8"/>
      <c r="I69" s="15"/>
      <c r="J69" s="15"/>
      <c r="K69" s="15"/>
      <c r="L69" s="15"/>
      <c r="M69" s="13"/>
      <c r="N69" s="13"/>
      <c r="O69" s="13"/>
      <c r="P69" s="13"/>
    </row>
    <row r="70" spans="1:16">
      <c r="A70" s="18"/>
      <c r="B70" s="22"/>
      <c r="C70" s="50"/>
      <c r="D70" s="50"/>
      <c r="E70" s="7"/>
      <c r="F70" s="7"/>
      <c r="G70" s="7"/>
      <c r="H70" s="7"/>
      <c r="I70" s="13"/>
      <c r="J70" s="7"/>
      <c r="K70" s="16"/>
      <c r="L70" s="16"/>
      <c r="M70" s="7"/>
      <c r="N70" s="7"/>
      <c r="O70" s="7"/>
      <c r="P70" s="7"/>
    </row>
    <row r="71" spans="1:16">
      <c r="A71" s="12" t="s">
        <v>76</v>
      </c>
      <c r="B71" s="11" t="s">
        <v>82</v>
      </c>
      <c r="C71" s="9" t="s">
        <v>77</v>
      </c>
      <c r="D71" s="9" t="s">
        <v>78</v>
      </c>
      <c r="E71" s="9" t="s">
        <v>79</v>
      </c>
      <c r="F71" s="7"/>
      <c r="G71" s="17"/>
      <c r="H71" s="7"/>
      <c r="I71" s="7"/>
      <c r="J71" s="7"/>
      <c r="K71" s="7"/>
      <c r="L71" s="7"/>
      <c r="M71" s="7"/>
      <c r="N71" s="7"/>
      <c r="O71" s="7"/>
      <c r="P71" s="7"/>
    </row>
    <row r="72" spans="1:16">
      <c r="A72" s="7"/>
      <c r="B72" s="14">
        <v>0</v>
      </c>
      <c r="C72" s="14">
        <v>1</v>
      </c>
      <c r="D72" s="14">
        <v>0</v>
      </c>
      <c r="E72" s="14">
        <v>0</v>
      </c>
      <c r="F72" s="7"/>
      <c r="G72" s="17"/>
      <c r="H72" s="8"/>
      <c r="I72" s="7"/>
      <c r="J72" s="7"/>
      <c r="K72" s="7"/>
      <c r="L72" s="7"/>
      <c r="M72" s="13"/>
      <c r="N72" s="13"/>
      <c r="O72" s="13"/>
      <c r="P72" s="13"/>
    </row>
    <row r="73" spans="1:16">
      <c r="A73" s="18"/>
      <c r="B73" s="14">
        <v>0.15</v>
      </c>
      <c r="C73" s="14">
        <v>0.98</v>
      </c>
      <c r="D73" s="14">
        <v>0</v>
      </c>
      <c r="E73" s="14">
        <v>0</v>
      </c>
      <c r="F73" s="13"/>
      <c r="G73" s="17"/>
      <c r="H73" s="8"/>
      <c r="I73" s="15"/>
      <c r="J73" s="15"/>
      <c r="K73" s="15"/>
      <c r="L73" s="15"/>
      <c r="M73" s="13"/>
      <c r="N73" s="13"/>
      <c r="O73" s="13"/>
      <c r="P73" s="13"/>
    </row>
    <row r="74" spans="1:16">
      <c r="A74" s="18"/>
      <c r="B74" s="14">
        <v>0.3</v>
      </c>
      <c r="C74" s="14">
        <v>0.94</v>
      </c>
      <c r="D74" s="14">
        <v>0</v>
      </c>
      <c r="E74" s="14">
        <v>0</v>
      </c>
      <c r="F74" s="13"/>
      <c r="G74" s="17"/>
      <c r="H74" s="8"/>
      <c r="I74" s="15"/>
      <c r="J74" s="15"/>
      <c r="K74" s="15"/>
      <c r="L74" s="15"/>
      <c r="M74" s="13"/>
      <c r="N74" s="13"/>
      <c r="O74" s="13"/>
      <c r="P74" s="13"/>
    </row>
    <row r="75" spans="1:16">
      <c r="A75" s="18"/>
      <c r="B75" s="14">
        <v>0.4</v>
      </c>
      <c r="C75" s="14">
        <v>0.87</v>
      </c>
      <c r="D75" s="72">
        <v>1E-4</v>
      </c>
      <c r="E75" s="14">
        <v>0</v>
      </c>
      <c r="F75" s="13"/>
      <c r="G75" s="17"/>
      <c r="H75" s="8"/>
      <c r="I75" s="15"/>
      <c r="J75" s="15"/>
      <c r="K75" s="15"/>
      <c r="L75" s="15"/>
      <c r="M75" s="13"/>
      <c r="N75" s="13"/>
      <c r="O75" s="13"/>
      <c r="P75" s="13"/>
    </row>
    <row r="76" spans="1:16">
      <c r="A76" s="18"/>
      <c r="B76" s="14">
        <v>0.5</v>
      </c>
      <c r="C76" s="14">
        <v>0.72</v>
      </c>
      <c r="D76" s="14">
        <v>1E-3</v>
      </c>
      <c r="E76" s="14">
        <v>0</v>
      </c>
      <c r="F76" s="13"/>
      <c r="G76" s="17"/>
      <c r="H76" s="8"/>
      <c r="I76" s="15"/>
      <c r="J76" s="15"/>
      <c r="K76" s="15"/>
      <c r="L76" s="15"/>
      <c r="M76" s="13"/>
      <c r="N76" s="13"/>
      <c r="O76" s="13"/>
      <c r="P76" s="13"/>
    </row>
    <row r="77" spans="1:16">
      <c r="A77" s="18"/>
      <c r="B77" s="14">
        <v>0.55000000000000004</v>
      </c>
      <c r="C77" s="14">
        <v>0.6</v>
      </c>
      <c r="D77" s="14">
        <v>0.01</v>
      </c>
      <c r="E77" s="14">
        <v>0</v>
      </c>
      <c r="F77" s="13"/>
      <c r="G77" s="17"/>
      <c r="H77" s="8"/>
      <c r="I77" s="15"/>
      <c r="J77" s="15"/>
      <c r="K77" s="15"/>
      <c r="L77" s="15"/>
      <c r="M77" s="13"/>
      <c r="N77" s="13"/>
      <c r="O77" s="13"/>
      <c r="P77" s="13"/>
    </row>
    <row r="78" spans="1:16">
      <c r="A78" s="18"/>
      <c r="B78" s="14">
        <v>0.6</v>
      </c>
      <c r="C78" s="14">
        <v>0.41</v>
      </c>
      <c r="D78" s="14">
        <v>2.1000000000000001E-2</v>
      </c>
      <c r="E78" s="14">
        <v>0</v>
      </c>
      <c r="F78" s="13"/>
      <c r="G78" s="17"/>
      <c r="H78" s="8"/>
      <c r="I78" s="15"/>
      <c r="J78" s="15"/>
      <c r="K78" s="15"/>
      <c r="L78" s="15"/>
      <c r="M78" s="13"/>
      <c r="N78" s="13"/>
      <c r="O78" s="13"/>
      <c r="P78" s="13"/>
    </row>
    <row r="79" spans="1:16">
      <c r="A79" s="18"/>
      <c r="B79" s="14">
        <v>0.7</v>
      </c>
      <c r="C79" s="14">
        <v>0.19</v>
      </c>
      <c r="D79" s="14">
        <v>0.09</v>
      </c>
      <c r="E79" s="14">
        <v>0</v>
      </c>
      <c r="F79" s="13"/>
      <c r="G79" s="17"/>
      <c r="H79" s="8"/>
      <c r="I79" s="15"/>
      <c r="J79" s="15"/>
      <c r="K79" s="15"/>
      <c r="L79" s="15"/>
      <c r="M79" s="13"/>
      <c r="N79" s="13"/>
      <c r="O79" s="13"/>
      <c r="P79" s="13"/>
    </row>
    <row r="80" spans="1:16">
      <c r="A80" s="18"/>
      <c r="B80" s="14">
        <v>0.75</v>
      </c>
      <c r="C80" s="14">
        <v>0.125</v>
      </c>
      <c r="D80" s="14">
        <v>0.2</v>
      </c>
      <c r="E80" s="14">
        <v>0</v>
      </c>
      <c r="F80" s="13"/>
      <c r="G80" s="17"/>
      <c r="H80" s="8"/>
      <c r="I80" s="15"/>
      <c r="J80" s="15"/>
      <c r="K80" s="15"/>
      <c r="L80" s="15"/>
      <c r="M80" s="13"/>
      <c r="N80" s="13"/>
      <c r="O80" s="13"/>
      <c r="P80" s="13"/>
    </row>
    <row r="81" spans="1:63">
      <c r="A81" s="18"/>
      <c r="B81" s="14">
        <v>0.8</v>
      </c>
      <c r="C81" s="14">
        <v>7.4999999999999997E-2</v>
      </c>
      <c r="D81" s="14">
        <v>0.35</v>
      </c>
      <c r="E81" s="14">
        <v>0</v>
      </c>
      <c r="F81" s="13"/>
      <c r="G81" s="17"/>
      <c r="H81" s="8"/>
      <c r="I81" s="15"/>
      <c r="J81" s="15"/>
      <c r="K81" s="15"/>
      <c r="L81" s="15"/>
      <c r="M81" s="13"/>
      <c r="N81" s="13"/>
      <c r="O81" s="13"/>
      <c r="P81" s="13"/>
    </row>
    <row r="82" spans="1:63">
      <c r="A82" s="18"/>
      <c r="B82" s="14">
        <v>0.88</v>
      </c>
      <c r="C82" s="14">
        <v>2.5000000000000001E-2</v>
      </c>
      <c r="D82" s="14">
        <v>0.7</v>
      </c>
      <c r="E82" s="14">
        <v>0</v>
      </c>
      <c r="F82" s="13"/>
      <c r="G82" s="17"/>
      <c r="H82" s="8"/>
      <c r="I82" s="15"/>
      <c r="J82" s="15"/>
      <c r="K82" s="15"/>
      <c r="L82" s="15"/>
      <c r="M82" s="13"/>
      <c r="N82" s="13"/>
      <c r="O82" s="13"/>
      <c r="P82" s="13"/>
    </row>
    <row r="83" spans="1:63">
      <c r="A83" s="18"/>
      <c r="B83" s="14">
        <v>0.95</v>
      </c>
      <c r="C83" s="14">
        <v>5.0000000000000001E-3</v>
      </c>
      <c r="D83" s="14">
        <v>0.98</v>
      </c>
      <c r="E83" s="14">
        <v>0</v>
      </c>
      <c r="F83" s="13"/>
      <c r="G83" s="17"/>
      <c r="H83" s="8"/>
      <c r="I83" s="15"/>
      <c r="J83" s="15"/>
      <c r="K83" s="15"/>
      <c r="L83" s="15"/>
      <c r="M83" s="13"/>
      <c r="N83" s="13"/>
      <c r="O83" s="13"/>
      <c r="P83" s="13"/>
    </row>
    <row r="84" spans="1:63">
      <c r="A84" s="18"/>
      <c r="B84" s="14">
        <v>0.98</v>
      </c>
      <c r="C84" s="14">
        <v>0</v>
      </c>
      <c r="D84" s="14">
        <v>0.997</v>
      </c>
      <c r="E84" s="14">
        <v>0</v>
      </c>
      <c r="F84" s="13"/>
      <c r="G84" s="17"/>
      <c r="H84" s="8"/>
      <c r="I84" s="15"/>
      <c r="J84" s="15"/>
      <c r="K84" s="15"/>
      <c r="L84" s="15"/>
      <c r="M84" s="13"/>
      <c r="N84" s="13"/>
      <c r="O84" s="13"/>
      <c r="P84" s="13"/>
    </row>
    <row r="85" spans="1:63">
      <c r="A85" s="18"/>
      <c r="B85" s="14">
        <v>0.999</v>
      </c>
      <c r="C85" s="14">
        <v>0</v>
      </c>
      <c r="D85" s="14">
        <v>0.99990000000000001</v>
      </c>
      <c r="E85" s="14">
        <v>0</v>
      </c>
      <c r="F85" s="13"/>
      <c r="G85" s="17"/>
      <c r="H85" s="8"/>
      <c r="I85" s="15"/>
      <c r="J85" s="15"/>
      <c r="K85" s="15"/>
      <c r="L85" s="15"/>
      <c r="M85" s="13"/>
      <c r="N85" s="13"/>
      <c r="O85" s="13"/>
      <c r="P85" s="13"/>
    </row>
    <row r="86" spans="1:63">
      <c r="A86" s="18"/>
      <c r="B86" s="14">
        <v>1</v>
      </c>
      <c r="C86" s="14">
        <v>0</v>
      </c>
      <c r="D86" s="14">
        <v>1</v>
      </c>
      <c r="E86" s="14">
        <v>0</v>
      </c>
      <c r="F86" s="13"/>
      <c r="G86" s="17"/>
      <c r="H86" s="8"/>
      <c r="I86" s="15"/>
      <c r="J86" s="15"/>
      <c r="K86" s="15"/>
      <c r="L86" s="15"/>
      <c r="M86" s="13"/>
      <c r="N86" s="13"/>
      <c r="O86" s="13"/>
      <c r="P86" s="13"/>
    </row>
    <row r="87" spans="1:63">
      <c r="A87" s="18"/>
      <c r="B87" s="22"/>
      <c r="C87" s="22"/>
      <c r="D87" s="22"/>
      <c r="E87" s="22"/>
      <c r="F87" s="13"/>
      <c r="G87" s="17"/>
      <c r="H87" s="8"/>
      <c r="I87" s="15"/>
      <c r="J87" s="15"/>
      <c r="K87" s="15"/>
      <c r="L87" s="15"/>
      <c r="M87" s="13"/>
      <c r="N87" s="13"/>
      <c r="O87" s="13"/>
      <c r="P87" s="13"/>
    </row>
    <row r="88" spans="1:63">
      <c r="A88" s="51" t="s">
        <v>107</v>
      </c>
      <c r="B88" s="22"/>
      <c r="C88" s="50"/>
      <c r="D88" s="50"/>
      <c r="E88" s="7"/>
      <c r="F88" s="7"/>
      <c r="G88" s="7"/>
      <c r="H88" s="7"/>
      <c r="I88" s="13"/>
      <c r="J88" s="7"/>
      <c r="K88" s="16"/>
      <c r="L88" s="16"/>
      <c r="M88" s="7"/>
      <c r="N88" s="7"/>
      <c r="O88" s="7"/>
      <c r="P88" s="7"/>
    </row>
    <row r="89" spans="1:63">
      <c r="A89" s="12" t="s">
        <v>70</v>
      </c>
      <c r="B89" s="22" t="s">
        <v>69</v>
      </c>
      <c r="C89" s="50" t="s">
        <v>71</v>
      </c>
      <c r="D89" s="50" t="s">
        <v>67</v>
      </c>
      <c r="E89" s="7" t="s">
        <v>68</v>
      </c>
      <c r="F89" s="7"/>
      <c r="G89" s="7"/>
      <c r="H89" s="7"/>
      <c r="I89" s="13"/>
      <c r="J89" s="7"/>
      <c r="K89" s="16"/>
      <c r="L89" s="16"/>
      <c r="M89" s="7"/>
      <c r="N89" s="7"/>
      <c r="O89" s="7"/>
      <c r="P89" s="7"/>
    </row>
    <row r="90" spans="1:63">
      <c r="B90" s="71">
        <v>4800</v>
      </c>
      <c r="C90" s="71">
        <v>8400</v>
      </c>
      <c r="D90" s="71">
        <v>8450</v>
      </c>
      <c r="E90" s="71">
        <v>8320</v>
      </c>
      <c r="F90" s="7"/>
      <c r="G90" s="7"/>
      <c r="H90" s="7"/>
      <c r="I90" s="13"/>
      <c r="J90" s="7"/>
      <c r="K90" s="16"/>
      <c r="L90" s="16"/>
      <c r="M90" s="7"/>
      <c r="N90" s="7"/>
      <c r="O90" s="7"/>
      <c r="P90" s="7"/>
    </row>
    <row r="92" spans="1:63">
      <c r="A92" s="51" t="s">
        <v>61</v>
      </c>
    </row>
    <row r="93" spans="1:63">
      <c r="A93" s="54"/>
    </row>
    <row r="94" spans="1:63">
      <c r="A94" s="66" t="s">
        <v>84</v>
      </c>
    </row>
    <row r="95" spans="1:63">
      <c r="A95" s="73" t="s">
        <v>85</v>
      </c>
      <c r="B95" s="70" t="s">
        <v>80</v>
      </c>
      <c r="C95" s="74" t="s">
        <v>86</v>
      </c>
      <c r="D95" s="57">
        <v>1</v>
      </c>
      <c r="E95" s="74" t="s">
        <v>87</v>
      </c>
      <c r="F95" s="57">
        <v>1</v>
      </c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</row>
    <row r="96" spans="1:63">
      <c r="A96" s="58" t="s">
        <v>88</v>
      </c>
      <c r="B96" s="74" t="s">
        <v>89</v>
      </c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3"/>
      <c r="BE96" s="52"/>
      <c r="BF96" s="52"/>
      <c r="BG96" s="52"/>
      <c r="BH96" s="52"/>
      <c r="BI96" s="52"/>
      <c r="BJ96" s="52"/>
      <c r="BK96" s="52"/>
    </row>
    <row r="97" spans="1:63">
      <c r="B97" s="64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3"/>
      <c r="BE97" s="52"/>
      <c r="BF97" s="52"/>
      <c r="BG97" s="52"/>
      <c r="BH97" s="52"/>
      <c r="BI97" s="52"/>
      <c r="BJ97" s="52"/>
      <c r="BK97" s="52"/>
    </row>
    <row r="98" spans="1:63">
      <c r="A98" s="66" t="s">
        <v>90</v>
      </c>
      <c r="B98" t="s">
        <v>80</v>
      </c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/>
      <c r="BB98" s="52"/>
      <c r="BC98" s="52"/>
      <c r="BD98" s="53"/>
      <c r="BE98" s="52"/>
      <c r="BF98" s="52"/>
      <c r="BG98" s="52"/>
      <c r="BH98" s="52"/>
      <c r="BI98" s="52"/>
      <c r="BJ98" s="52"/>
      <c r="BK98" s="52"/>
    </row>
    <row r="99" spans="1:63">
      <c r="A99" s="75" t="s">
        <v>91</v>
      </c>
      <c r="B99" s="76" t="s">
        <v>92</v>
      </c>
      <c r="C99" s="76"/>
      <c r="D99" s="76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3"/>
      <c r="BE99" s="52"/>
      <c r="BF99" s="52"/>
      <c r="BG99" s="52"/>
      <c r="BH99" s="52"/>
      <c r="BI99" s="52"/>
      <c r="BJ99" s="52"/>
      <c r="BK99" s="52"/>
    </row>
    <row r="100" spans="1:63">
      <c r="A100" s="75"/>
      <c r="B100" s="74" t="s">
        <v>94</v>
      </c>
      <c r="C100" s="74" t="s">
        <v>95</v>
      </c>
      <c r="D100" s="59" t="s">
        <v>93</v>
      </c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/>
      <c r="BB100" s="52"/>
      <c r="BC100" s="52"/>
      <c r="BD100" s="53"/>
      <c r="BE100" s="52"/>
      <c r="BF100" s="52"/>
      <c r="BG100" s="52"/>
      <c r="BH100" s="52"/>
      <c r="BI100" s="52"/>
      <c r="BJ100" s="52"/>
      <c r="BK100" s="52"/>
    </row>
    <row r="101" spans="1:63">
      <c r="A101" s="56" t="s">
        <v>62</v>
      </c>
      <c r="B101" s="58">
        <v>1086</v>
      </c>
      <c r="C101" s="58">
        <v>1089.4000000000001</v>
      </c>
      <c r="D101" s="58">
        <v>1</v>
      </c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2"/>
      <c r="BA101" s="52"/>
      <c r="BB101" s="52"/>
      <c r="BC101" s="52"/>
      <c r="BD101" s="53"/>
      <c r="BE101" s="52"/>
      <c r="BF101" s="52"/>
      <c r="BG101" s="52"/>
      <c r="BH101" s="52"/>
      <c r="BI101" s="52"/>
      <c r="BJ101" s="52"/>
      <c r="BK101" s="52"/>
    </row>
    <row r="102" spans="1:63">
      <c r="A102" s="61" t="s">
        <v>63</v>
      </c>
      <c r="B102" s="60">
        <v>1116.4000000000001</v>
      </c>
      <c r="C102" s="60">
        <v>1118.5999999999999</v>
      </c>
      <c r="D102" s="58">
        <v>2</v>
      </c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3"/>
      <c r="BE102" s="52"/>
      <c r="BF102" s="52"/>
      <c r="BG102" s="52"/>
      <c r="BH102" s="52"/>
      <c r="BI102" s="52"/>
      <c r="BJ102" s="52"/>
      <c r="BK102" s="52"/>
    </row>
    <row r="103" spans="1:63">
      <c r="A103" s="56" t="s">
        <v>64</v>
      </c>
      <c r="B103" s="60">
        <v>1121.8</v>
      </c>
      <c r="C103" s="60">
        <v>1123</v>
      </c>
      <c r="D103" s="58">
        <v>3</v>
      </c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3"/>
      <c r="BE103" s="52"/>
      <c r="BF103" s="52"/>
      <c r="BG103" s="52"/>
      <c r="BH103" s="52"/>
      <c r="BI103" s="52"/>
      <c r="BJ103" s="52"/>
      <c r="BK103" s="52"/>
    </row>
    <row r="104" spans="1:63">
      <c r="A104" s="65"/>
      <c r="B104" s="62"/>
      <c r="C104" s="62"/>
      <c r="D104" s="63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3"/>
      <c r="BE104" s="52"/>
      <c r="BF104" s="52"/>
      <c r="BG104" s="52"/>
      <c r="BH104" s="52"/>
      <c r="BI104" s="52"/>
      <c r="BJ104" s="52"/>
      <c r="BK104" s="52"/>
    </row>
    <row r="105" spans="1:63">
      <c r="A105" s="66" t="s">
        <v>96</v>
      </c>
      <c r="B105" s="60" t="s">
        <v>97</v>
      </c>
      <c r="C105" s="60" t="s">
        <v>101</v>
      </c>
      <c r="D105" s="60" t="s">
        <v>102</v>
      </c>
      <c r="E105" s="60" t="s">
        <v>103</v>
      </c>
      <c r="F105" s="60" t="s">
        <v>104</v>
      </c>
      <c r="G105" s="60" t="s">
        <v>105</v>
      </c>
      <c r="H105" s="62"/>
      <c r="I105" s="62"/>
      <c r="J105" s="63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3"/>
      <c r="BE105" s="52"/>
      <c r="BF105" s="52"/>
      <c r="BG105" s="52"/>
      <c r="BH105" s="52"/>
      <c r="BI105" s="52"/>
      <c r="BJ105" s="52"/>
      <c r="BK105" s="52"/>
    </row>
    <row r="106" spans="1:63">
      <c r="A106" s="69" t="s">
        <v>80</v>
      </c>
      <c r="B106" s="56">
        <v>201607</v>
      </c>
      <c r="C106" s="56">
        <v>30.96</v>
      </c>
      <c r="D106" s="56">
        <v>117</v>
      </c>
      <c r="E106" s="56">
        <v>10</v>
      </c>
      <c r="F106" s="56">
        <v>107</v>
      </c>
      <c r="G106" s="56">
        <v>0</v>
      </c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/>
      <c r="BB106" s="52"/>
      <c r="BC106" s="52"/>
      <c r="BD106" s="53"/>
      <c r="BE106" s="52"/>
      <c r="BF106" s="52"/>
      <c r="BG106" s="52"/>
      <c r="BH106" s="52"/>
      <c r="BI106" s="52"/>
      <c r="BJ106" s="52"/>
      <c r="BK106" s="52"/>
    </row>
    <row r="107" spans="1:63">
      <c r="A107" s="69" t="s">
        <v>80</v>
      </c>
      <c r="B107" s="56">
        <v>201606</v>
      </c>
      <c r="C107" s="56">
        <v>29.96</v>
      </c>
      <c r="D107" s="56">
        <v>103</v>
      </c>
      <c r="E107" s="56">
        <v>9</v>
      </c>
      <c r="F107" s="56">
        <v>94</v>
      </c>
      <c r="G107" s="56">
        <v>0</v>
      </c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3"/>
      <c r="BE107" s="52"/>
      <c r="BF107" s="52"/>
      <c r="BG107" s="52"/>
      <c r="BH107" s="52"/>
      <c r="BI107" s="52"/>
      <c r="BJ107" s="52"/>
      <c r="BK107" s="52"/>
    </row>
    <row r="108" spans="1:63">
      <c r="A108" s="69" t="s">
        <v>80</v>
      </c>
      <c r="B108" s="56">
        <v>201605</v>
      </c>
      <c r="C108" s="56">
        <v>30.96</v>
      </c>
      <c r="D108" s="56">
        <v>141</v>
      </c>
      <c r="E108" s="56">
        <v>13</v>
      </c>
      <c r="F108" s="56">
        <v>128</v>
      </c>
      <c r="G108" s="56">
        <v>0</v>
      </c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3"/>
      <c r="BE108" s="52"/>
      <c r="BF108" s="52"/>
      <c r="BG108" s="52"/>
      <c r="BH108" s="52"/>
      <c r="BI108" s="52"/>
      <c r="BJ108" s="52"/>
      <c r="BK108" s="52"/>
    </row>
    <row r="109" spans="1:63">
      <c r="A109" s="69" t="s">
        <v>80</v>
      </c>
      <c r="B109" s="56">
        <v>201604</v>
      </c>
      <c r="C109" s="56">
        <v>30</v>
      </c>
      <c r="D109" s="56">
        <v>94</v>
      </c>
      <c r="E109" s="56">
        <v>9</v>
      </c>
      <c r="F109" s="56">
        <v>85</v>
      </c>
      <c r="G109" s="56">
        <v>0</v>
      </c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2"/>
      <c r="BA109" s="52"/>
      <c r="BB109" s="52"/>
      <c r="BC109" s="52"/>
      <c r="BD109" s="53"/>
      <c r="BE109" s="52"/>
      <c r="BF109" s="52"/>
      <c r="BG109" s="52"/>
      <c r="BH109" s="52"/>
      <c r="BI109" s="52"/>
      <c r="BJ109" s="52"/>
      <c r="BK109" s="52"/>
    </row>
    <row r="110" spans="1:63">
      <c r="A110" s="69" t="s">
        <v>80</v>
      </c>
      <c r="B110" s="56">
        <v>201603</v>
      </c>
      <c r="C110" s="56">
        <v>30.92</v>
      </c>
      <c r="D110" s="56">
        <v>98</v>
      </c>
      <c r="E110" s="56">
        <v>13</v>
      </c>
      <c r="F110" s="56">
        <v>85</v>
      </c>
      <c r="G110" s="56">
        <v>0</v>
      </c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/>
      <c r="BB110" s="52"/>
      <c r="BC110" s="52"/>
      <c r="BD110" s="53"/>
      <c r="BE110" s="52"/>
      <c r="BF110" s="52"/>
      <c r="BG110" s="52"/>
      <c r="BH110" s="52"/>
      <c r="BI110" s="52"/>
      <c r="BJ110" s="52"/>
      <c r="BK110" s="52"/>
    </row>
    <row r="111" spans="1:63">
      <c r="A111" s="69" t="s">
        <v>80</v>
      </c>
      <c r="B111" s="56">
        <v>201602</v>
      </c>
      <c r="C111" s="56">
        <v>27.96</v>
      </c>
      <c r="D111" s="56">
        <v>84</v>
      </c>
      <c r="E111" s="56">
        <v>21</v>
      </c>
      <c r="F111" s="56">
        <v>63</v>
      </c>
      <c r="G111" s="56">
        <v>0</v>
      </c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3"/>
      <c r="BE111" s="52"/>
      <c r="BF111" s="52"/>
      <c r="BG111" s="52"/>
      <c r="BH111" s="52"/>
      <c r="BI111" s="52"/>
      <c r="BJ111" s="52"/>
      <c r="BK111" s="52"/>
    </row>
    <row r="112" spans="1:63">
      <c r="A112" s="69" t="s">
        <v>80</v>
      </c>
      <c r="B112" s="56">
        <v>201601</v>
      </c>
      <c r="C112" s="56">
        <v>30.96</v>
      </c>
      <c r="D112" s="56">
        <v>99</v>
      </c>
      <c r="E112" s="56">
        <v>25</v>
      </c>
      <c r="F112" s="56">
        <v>74</v>
      </c>
      <c r="G112" s="56">
        <v>0</v>
      </c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3"/>
      <c r="BE112" s="52"/>
      <c r="BF112" s="52"/>
      <c r="BG112" s="52"/>
      <c r="BH112" s="52"/>
      <c r="BI112" s="52"/>
      <c r="BJ112" s="52"/>
      <c r="BK112" s="52"/>
    </row>
    <row r="113" spans="1:63">
      <c r="A113" s="69" t="s">
        <v>80</v>
      </c>
      <c r="B113" s="56">
        <v>201512</v>
      </c>
      <c r="C113" s="56">
        <v>30.96</v>
      </c>
      <c r="D113" s="56">
        <v>105</v>
      </c>
      <c r="E113" s="56">
        <v>26</v>
      </c>
      <c r="F113" s="56">
        <v>79</v>
      </c>
      <c r="G113" s="56">
        <v>0</v>
      </c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3"/>
      <c r="BE113" s="52"/>
      <c r="BF113" s="52"/>
      <c r="BG113" s="52"/>
      <c r="BH113" s="52"/>
      <c r="BI113" s="52"/>
      <c r="BJ113" s="52"/>
      <c r="BK113" s="52"/>
    </row>
    <row r="114" spans="1:63">
      <c r="A114" s="69" t="s">
        <v>80</v>
      </c>
      <c r="B114" s="56">
        <v>201511</v>
      </c>
      <c r="C114" s="56">
        <v>29.96</v>
      </c>
      <c r="D114" s="56">
        <v>102</v>
      </c>
      <c r="E114" s="56">
        <v>26</v>
      </c>
      <c r="F114" s="56">
        <v>76</v>
      </c>
      <c r="G114" s="56">
        <v>0</v>
      </c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3"/>
      <c r="BE114" s="52"/>
      <c r="BF114" s="52"/>
      <c r="BG114" s="52"/>
      <c r="BH114" s="52"/>
      <c r="BI114" s="52"/>
      <c r="BJ114" s="52"/>
      <c r="BK114" s="52"/>
    </row>
    <row r="115" spans="1:63">
      <c r="A115" s="69" t="s">
        <v>80</v>
      </c>
      <c r="B115" s="56">
        <v>201510</v>
      </c>
      <c r="C115" s="56">
        <v>30.96</v>
      </c>
      <c r="D115" s="56">
        <v>94</v>
      </c>
      <c r="E115" s="56">
        <v>56</v>
      </c>
      <c r="F115" s="56">
        <v>38</v>
      </c>
      <c r="G115" s="56">
        <v>0</v>
      </c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/>
      <c r="BB115" s="52"/>
      <c r="BC115" s="52"/>
      <c r="BD115" s="53"/>
      <c r="BE115" s="52"/>
      <c r="BF115" s="52"/>
      <c r="BG115" s="52"/>
      <c r="BH115" s="52"/>
      <c r="BI115" s="52"/>
      <c r="BJ115" s="52"/>
      <c r="BK115" s="52"/>
    </row>
    <row r="116" spans="1:63">
      <c r="A116" s="69" t="s">
        <v>80</v>
      </c>
      <c r="B116" s="56">
        <v>201509</v>
      </c>
      <c r="C116" s="56">
        <v>29.92</v>
      </c>
      <c r="D116" s="56">
        <v>96</v>
      </c>
      <c r="E116" s="56">
        <v>68</v>
      </c>
      <c r="F116" s="56">
        <v>28</v>
      </c>
      <c r="G116" s="56">
        <v>0</v>
      </c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/>
      <c r="BB116" s="52"/>
      <c r="BC116" s="52"/>
      <c r="BD116" s="53"/>
      <c r="BE116" s="52"/>
      <c r="BF116" s="52"/>
      <c r="BG116" s="52"/>
      <c r="BH116" s="52"/>
      <c r="BI116" s="52"/>
      <c r="BJ116" s="52"/>
      <c r="BK116" s="52"/>
    </row>
    <row r="117" spans="1:63">
      <c r="A117" s="69" t="s">
        <v>80</v>
      </c>
      <c r="B117" s="56">
        <v>201508</v>
      </c>
      <c r="C117" s="56">
        <v>30.96</v>
      </c>
      <c r="D117" s="56">
        <v>70</v>
      </c>
      <c r="E117" s="56">
        <v>50</v>
      </c>
      <c r="F117" s="56">
        <v>20</v>
      </c>
      <c r="G117" s="56">
        <v>0</v>
      </c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3"/>
      <c r="BE117" s="52"/>
      <c r="BF117" s="52"/>
      <c r="BG117" s="52"/>
      <c r="BH117" s="52"/>
      <c r="BI117" s="52"/>
      <c r="BJ117" s="52"/>
      <c r="BK117" s="52"/>
    </row>
    <row r="118" spans="1:63">
      <c r="A118" s="69" t="s">
        <v>80</v>
      </c>
      <c r="B118" s="56">
        <v>201507</v>
      </c>
      <c r="C118" s="56">
        <v>30.96</v>
      </c>
      <c r="D118" s="56">
        <v>70</v>
      </c>
      <c r="E118" s="56">
        <v>51</v>
      </c>
      <c r="F118" s="56">
        <v>19</v>
      </c>
      <c r="G118" s="56">
        <v>0</v>
      </c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3"/>
      <c r="BE118" s="52"/>
      <c r="BF118" s="52"/>
      <c r="BG118" s="52"/>
      <c r="BH118" s="52"/>
      <c r="BI118" s="52"/>
      <c r="BJ118" s="52"/>
      <c r="BK118" s="52"/>
    </row>
    <row r="119" spans="1:63">
      <c r="A119" s="69" t="s">
        <v>80</v>
      </c>
      <c r="B119" s="56">
        <v>201506</v>
      </c>
      <c r="C119" s="56">
        <v>29.96</v>
      </c>
      <c r="D119" s="56">
        <v>77</v>
      </c>
      <c r="E119" s="56">
        <v>58</v>
      </c>
      <c r="F119" s="56">
        <v>19</v>
      </c>
      <c r="G119" s="56">
        <v>0</v>
      </c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3"/>
      <c r="BE119" s="52"/>
      <c r="BF119" s="52"/>
      <c r="BG119" s="52"/>
      <c r="BH119" s="52"/>
      <c r="BI119" s="52"/>
      <c r="BJ119" s="52"/>
      <c r="BK119" s="52"/>
    </row>
    <row r="120" spans="1:63">
      <c r="A120" s="69" t="s">
        <v>80</v>
      </c>
      <c r="B120" s="56">
        <v>201505</v>
      </c>
      <c r="C120" s="56">
        <v>31</v>
      </c>
      <c r="D120" s="56">
        <v>84</v>
      </c>
      <c r="E120" s="56">
        <v>62</v>
      </c>
      <c r="F120" s="56">
        <v>22</v>
      </c>
      <c r="G120" s="56">
        <v>0</v>
      </c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3"/>
      <c r="BE120" s="52"/>
      <c r="BF120" s="52"/>
      <c r="BG120" s="52"/>
      <c r="BH120" s="52"/>
      <c r="BI120" s="52"/>
      <c r="BJ120" s="52"/>
      <c r="BK120" s="52"/>
    </row>
    <row r="121" spans="1:63">
      <c r="A121" s="69" t="s">
        <v>80</v>
      </c>
      <c r="B121" s="56">
        <v>201504</v>
      </c>
      <c r="C121" s="56">
        <v>30</v>
      </c>
      <c r="D121" s="56">
        <v>75</v>
      </c>
      <c r="E121" s="56">
        <v>56</v>
      </c>
      <c r="F121" s="56">
        <v>19</v>
      </c>
      <c r="G121" s="56">
        <v>0</v>
      </c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/>
      <c r="BB121" s="52"/>
      <c r="BC121" s="52"/>
      <c r="BD121" s="53"/>
      <c r="BE121" s="52"/>
      <c r="BF121" s="52"/>
      <c r="BG121" s="52"/>
      <c r="BH121" s="52"/>
      <c r="BI121" s="52"/>
      <c r="BJ121" s="52"/>
      <c r="BK121" s="52"/>
    </row>
    <row r="122" spans="1:63">
      <c r="A122" s="69" t="s">
        <v>80</v>
      </c>
      <c r="B122" s="56">
        <v>201503</v>
      </c>
      <c r="C122" s="56">
        <v>30.92</v>
      </c>
      <c r="D122" s="56">
        <v>82</v>
      </c>
      <c r="E122" s="56">
        <v>61</v>
      </c>
      <c r="F122" s="56">
        <v>21</v>
      </c>
      <c r="G122" s="56">
        <v>0</v>
      </c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/>
      <c r="BB122" s="52"/>
      <c r="BC122" s="52"/>
      <c r="BD122" s="53"/>
      <c r="BE122" s="52"/>
      <c r="BF122" s="52"/>
      <c r="BG122" s="52"/>
      <c r="BH122" s="52"/>
      <c r="BI122" s="52"/>
      <c r="BJ122" s="52"/>
      <c r="BK122" s="52"/>
    </row>
    <row r="123" spans="1:63">
      <c r="A123" s="69" t="s">
        <v>80</v>
      </c>
      <c r="B123" s="56">
        <v>201502</v>
      </c>
      <c r="C123" s="56">
        <v>28.96</v>
      </c>
      <c r="D123" s="56">
        <v>71</v>
      </c>
      <c r="E123" s="56">
        <v>53</v>
      </c>
      <c r="F123" s="56">
        <v>18</v>
      </c>
      <c r="G123" s="56">
        <v>0</v>
      </c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3"/>
      <c r="BE123" s="52"/>
      <c r="BF123" s="52"/>
      <c r="BG123" s="52"/>
      <c r="BH123" s="52"/>
      <c r="BI123" s="52"/>
      <c r="BJ123" s="52"/>
      <c r="BK123" s="52"/>
    </row>
    <row r="124" spans="1:63">
      <c r="A124" s="69" t="s">
        <v>80</v>
      </c>
      <c r="B124" s="56">
        <v>201501</v>
      </c>
      <c r="C124" s="56">
        <v>30.75</v>
      </c>
      <c r="D124" s="56">
        <v>70</v>
      </c>
      <c r="E124" s="56">
        <v>53</v>
      </c>
      <c r="F124" s="56">
        <v>17</v>
      </c>
      <c r="G124" s="56">
        <v>0</v>
      </c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3"/>
      <c r="BE124" s="52"/>
      <c r="BF124" s="52"/>
      <c r="BG124" s="52"/>
      <c r="BH124" s="52"/>
      <c r="BI124" s="52"/>
      <c r="BJ124" s="52"/>
      <c r="BK124" s="52"/>
    </row>
    <row r="125" spans="1:63">
      <c r="A125" s="52"/>
      <c r="B125" s="52"/>
      <c r="C125" s="52"/>
      <c r="D125" s="52"/>
      <c r="E125" s="52"/>
      <c r="F125" s="52"/>
      <c r="G125" s="55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3"/>
      <c r="BE125" s="52"/>
      <c r="BF125" s="52"/>
      <c r="BG125" s="52"/>
      <c r="BH125" s="52"/>
      <c r="BI125" s="52"/>
      <c r="BJ125" s="52"/>
      <c r="BK125" s="52"/>
    </row>
    <row r="126" spans="1:63">
      <c r="A126" s="66" t="s">
        <v>84</v>
      </c>
    </row>
    <row r="127" spans="1:63">
      <c r="A127" s="73" t="s">
        <v>85</v>
      </c>
      <c r="B127" s="70" t="s">
        <v>81</v>
      </c>
      <c r="C127" s="74" t="s">
        <v>86</v>
      </c>
      <c r="D127" s="68">
        <v>9</v>
      </c>
      <c r="E127" s="74" t="s">
        <v>87</v>
      </c>
      <c r="F127" s="68">
        <v>9</v>
      </c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/>
      <c r="BB127" s="52"/>
      <c r="BC127" s="52"/>
      <c r="BD127" s="52"/>
      <c r="BE127" s="52"/>
      <c r="BF127" s="52"/>
      <c r="BG127" s="52"/>
      <c r="BH127" s="52"/>
      <c r="BI127" s="52"/>
      <c r="BJ127" s="52"/>
      <c r="BK127" s="52"/>
    </row>
    <row r="128" spans="1:63">
      <c r="A128" s="58" t="s">
        <v>88</v>
      </c>
      <c r="B128" s="74" t="s">
        <v>89</v>
      </c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3"/>
      <c r="BE128" s="52"/>
      <c r="BF128" s="52"/>
      <c r="BG128" s="52"/>
      <c r="BH128" s="52"/>
      <c r="BI128" s="52"/>
      <c r="BJ128" s="52"/>
      <c r="BK128" s="52"/>
    </row>
    <row r="129" spans="1:63">
      <c r="B129" s="64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3"/>
      <c r="BE129" s="52"/>
      <c r="BF129" s="52"/>
      <c r="BG129" s="52"/>
      <c r="BH129" s="52"/>
      <c r="BI129" s="52"/>
      <c r="BJ129" s="52"/>
      <c r="BK129" s="52"/>
    </row>
    <row r="130" spans="1:63">
      <c r="A130" s="66" t="s">
        <v>90</v>
      </c>
      <c r="B130" t="s">
        <v>81</v>
      </c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/>
      <c r="BB130" s="52"/>
      <c r="BC130" s="52"/>
      <c r="BD130" s="53"/>
      <c r="BE130" s="52"/>
      <c r="BF130" s="52"/>
      <c r="BG130" s="52"/>
      <c r="BH130" s="52"/>
      <c r="BI130" s="52"/>
      <c r="BJ130" s="52"/>
      <c r="BK130" s="52"/>
    </row>
    <row r="131" spans="1:63">
      <c r="A131" s="75" t="s">
        <v>91</v>
      </c>
      <c r="B131" s="76" t="s">
        <v>92</v>
      </c>
      <c r="C131" s="76"/>
      <c r="D131" s="76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/>
      <c r="BB131" s="52"/>
      <c r="BC131" s="52"/>
      <c r="BD131" s="53"/>
      <c r="BE131" s="52"/>
      <c r="BF131" s="52"/>
      <c r="BG131" s="52"/>
      <c r="BH131" s="52"/>
      <c r="BI131" s="52"/>
      <c r="BJ131" s="52"/>
      <c r="BK131" s="52"/>
    </row>
    <row r="132" spans="1:63">
      <c r="A132" s="75"/>
      <c r="B132" s="74" t="s">
        <v>94</v>
      </c>
      <c r="C132" s="74" t="s">
        <v>95</v>
      </c>
      <c r="D132" s="59" t="s">
        <v>93</v>
      </c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/>
      <c r="BB132" s="52"/>
      <c r="BC132" s="52"/>
      <c r="BD132" s="53"/>
      <c r="BE132" s="52"/>
      <c r="BF132" s="52"/>
      <c r="BG132" s="52"/>
      <c r="BH132" s="52"/>
      <c r="BI132" s="52"/>
      <c r="BJ132" s="52"/>
      <c r="BK132" s="52"/>
    </row>
    <row r="133" spans="1:63">
      <c r="A133" s="67" t="s">
        <v>62</v>
      </c>
      <c r="B133" s="58">
        <v>1086</v>
      </c>
      <c r="C133" s="58">
        <v>1089.4000000000001</v>
      </c>
      <c r="D133" s="58">
        <v>1</v>
      </c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/>
      <c r="BB133" s="52"/>
      <c r="BC133" s="52"/>
      <c r="BD133" s="53"/>
      <c r="BE133" s="52"/>
      <c r="BF133" s="52"/>
      <c r="BG133" s="52"/>
      <c r="BH133" s="52"/>
      <c r="BI133" s="52"/>
      <c r="BJ133" s="52"/>
      <c r="BK133" s="52"/>
    </row>
    <row r="134" spans="1:63">
      <c r="A134" s="61" t="s">
        <v>63</v>
      </c>
      <c r="B134" s="60">
        <v>1116.4000000000001</v>
      </c>
      <c r="C134" s="60">
        <v>1118.5999999999999</v>
      </c>
      <c r="D134" s="58">
        <v>2</v>
      </c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/>
      <c r="BB134" s="52"/>
      <c r="BC134" s="52"/>
      <c r="BD134" s="53"/>
      <c r="BE134" s="52"/>
      <c r="BF134" s="52"/>
      <c r="BG134" s="52"/>
      <c r="BH134" s="52"/>
      <c r="BI134" s="52"/>
      <c r="BJ134" s="52"/>
      <c r="BK134" s="52"/>
    </row>
    <row r="135" spans="1:63">
      <c r="A135" s="67" t="s">
        <v>64</v>
      </c>
      <c r="B135" s="60">
        <v>1121.8</v>
      </c>
      <c r="C135" s="60">
        <v>1123</v>
      </c>
      <c r="D135" s="58">
        <v>3</v>
      </c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/>
      <c r="BB135" s="52"/>
      <c r="BC135" s="52"/>
      <c r="BD135" s="53"/>
      <c r="BE135" s="52"/>
      <c r="BF135" s="52"/>
      <c r="BG135" s="52"/>
      <c r="BH135" s="52"/>
      <c r="BI135" s="52"/>
      <c r="BJ135" s="52"/>
      <c r="BK135" s="52"/>
    </row>
    <row r="136" spans="1:63">
      <c r="A136" s="65"/>
      <c r="B136" s="62"/>
      <c r="C136" s="62"/>
      <c r="D136" s="63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/>
      <c r="BB136" s="52"/>
      <c r="BC136" s="52"/>
      <c r="BD136" s="53"/>
      <c r="BE136" s="52"/>
      <c r="BF136" s="52"/>
      <c r="BG136" s="52"/>
      <c r="BH136" s="52"/>
      <c r="BI136" s="52"/>
      <c r="BJ136" s="52"/>
      <c r="BK136" s="52"/>
    </row>
    <row r="137" spans="1:63">
      <c r="A137" s="66" t="s">
        <v>96</v>
      </c>
      <c r="B137" s="60" t="s">
        <v>97</v>
      </c>
      <c r="C137" s="60" t="s">
        <v>101</v>
      </c>
      <c r="D137" s="60" t="s">
        <v>102</v>
      </c>
      <c r="E137" s="60" t="s">
        <v>103</v>
      </c>
      <c r="F137" s="60" t="s">
        <v>104</v>
      </c>
      <c r="G137" s="60" t="s">
        <v>105</v>
      </c>
      <c r="H137" s="62"/>
      <c r="I137" s="62"/>
      <c r="J137" s="63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/>
      <c r="BB137" s="52"/>
      <c r="BC137" s="52"/>
      <c r="BD137" s="53"/>
      <c r="BE137" s="52"/>
      <c r="BF137" s="52"/>
      <c r="BG137" s="52"/>
      <c r="BH137" s="52"/>
      <c r="BI137" s="52"/>
      <c r="BJ137" s="52"/>
      <c r="BK137" s="52"/>
    </row>
    <row r="138" spans="1:63">
      <c r="A138" s="69" t="s">
        <v>81</v>
      </c>
      <c r="B138" s="67">
        <v>201502</v>
      </c>
      <c r="C138" s="67">
        <v>30.96</v>
      </c>
      <c r="D138" s="67">
        <v>117</v>
      </c>
      <c r="E138" s="67">
        <v>10</v>
      </c>
      <c r="F138" s="67">
        <v>107</v>
      </c>
      <c r="G138" s="67">
        <v>0</v>
      </c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/>
      <c r="BB138" s="52"/>
      <c r="BC138" s="52"/>
      <c r="BD138" s="53"/>
      <c r="BE138" s="52"/>
      <c r="BF138" s="52"/>
      <c r="BG138" s="52"/>
      <c r="BH138" s="52"/>
      <c r="BI138" s="52"/>
      <c r="BJ138" s="52"/>
      <c r="BK138" s="52"/>
    </row>
    <row r="139" spans="1:63">
      <c r="A139" s="69" t="s">
        <v>81</v>
      </c>
      <c r="B139" s="67">
        <v>201501</v>
      </c>
      <c r="C139" s="67">
        <v>29.96</v>
      </c>
      <c r="D139" s="67">
        <v>103</v>
      </c>
      <c r="E139" s="67">
        <v>9</v>
      </c>
      <c r="F139" s="67">
        <v>94</v>
      </c>
      <c r="G139" s="67">
        <v>0</v>
      </c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/>
      <c r="BB139" s="52"/>
      <c r="BC139" s="52"/>
      <c r="BD139" s="53"/>
      <c r="BE139" s="52"/>
      <c r="BF139" s="52"/>
      <c r="BG139" s="52"/>
      <c r="BH139" s="52"/>
      <c r="BI139" s="52"/>
      <c r="BJ139" s="52"/>
      <c r="BK139" s="52"/>
    </row>
    <row r="140" spans="1:63">
      <c r="A140" s="69" t="s">
        <v>81</v>
      </c>
      <c r="B140" s="67">
        <v>201412</v>
      </c>
      <c r="C140" s="67">
        <v>30.96</v>
      </c>
      <c r="D140" s="67">
        <v>141</v>
      </c>
      <c r="E140" s="67">
        <v>13</v>
      </c>
      <c r="F140" s="67">
        <v>128</v>
      </c>
      <c r="G140" s="67">
        <v>0</v>
      </c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/>
      <c r="BB140" s="52"/>
      <c r="BC140" s="52"/>
      <c r="BD140" s="53"/>
      <c r="BE140" s="52"/>
      <c r="BF140" s="52"/>
      <c r="BG140" s="52"/>
      <c r="BH140" s="52"/>
      <c r="BI140" s="52"/>
      <c r="BJ140" s="52"/>
      <c r="BK140" s="52"/>
    </row>
    <row r="141" spans="1:63">
      <c r="A141" s="69" t="s">
        <v>81</v>
      </c>
      <c r="B141" s="67">
        <v>201411</v>
      </c>
      <c r="C141" s="67">
        <v>30</v>
      </c>
      <c r="D141" s="67">
        <v>94</v>
      </c>
      <c r="E141" s="67">
        <v>9</v>
      </c>
      <c r="F141" s="67">
        <v>85</v>
      </c>
      <c r="G141" s="67">
        <v>0</v>
      </c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/>
      <c r="BB141" s="52"/>
      <c r="BC141" s="52"/>
      <c r="BD141" s="53"/>
      <c r="BE141" s="52"/>
      <c r="BF141" s="52"/>
      <c r="BG141" s="52"/>
      <c r="BH141" s="52"/>
      <c r="BI141" s="52"/>
      <c r="BJ141" s="52"/>
      <c r="BK141" s="52"/>
    </row>
    <row r="142" spans="1:63">
      <c r="A142" s="69" t="s">
        <v>81</v>
      </c>
      <c r="B142" s="67">
        <v>201410</v>
      </c>
      <c r="C142" s="67">
        <v>30.92</v>
      </c>
      <c r="D142" s="67">
        <v>98</v>
      </c>
      <c r="E142" s="67">
        <v>13</v>
      </c>
      <c r="F142" s="67">
        <v>85</v>
      </c>
      <c r="G142" s="67">
        <v>0</v>
      </c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/>
      <c r="BB142" s="52"/>
      <c r="BC142" s="52"/>
      <c r="BD142" s="53"/>
      <c r="BE142" s="52"/>
      <c r="BF142" s="52"/>
      <c r="BG142" s="52"/>
      <c r="BH142" s="52"/>
      <c r="BI142" s="52"/>
      <c r="BJ142" s="52"/>
      <c r="BK142" s="52"/>
    </row>
    <row r="143" spans="1:63">
      <c r="B143" s="52"/>
      <c r="C143" s="52"/>
      <c r="D143" s="52"/>
      <c r="E143" s="52"/>
      <c r="F143" s="52"/>
      <c r="G143" s="55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/>
      <c r="BB143" s="52"/>
      <c r="BC143" s="52"/>
      <c r="BD143" s="53"/>
      <c r="BE143" s="52"/>
      <c r="BF143" s="52"/>
      <c r="BG143" s="52"/>
      <c r="BH143" s="52"/>
      <c r="BI143" s="52"/>
      <c r="BJ143" s="52"/>
      <c r="BK143" s="52"/>
    </row>
    <row r="144" spans="1:63">
      <c r="A144" s="54" t="s">
        <v>65</v>
      </c>
      <c r="B144" s="52"/>
      <c r="C144" s="52"/>
      <c r="D144" s="52"/>
      <c r="E144" s="52"/>
      <c r="F144" s="52"/>
      <c r="G144" s="55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/>
      <c r="BB144" s="52"/>
      <c r="BC144" s="52"/>
      <c r="BD144" s="53"/>
      <c r="BE144" s="52"/>
      <c r="BF144" s="52"/>
      <c r="BG144" s="52"/>
      <c r="BH144" s="52"/>
      <c r="BI144" s="52"/>
      <c r="BJ144" s="52"/>
      <c r="BK144" s="52"/>
    </row>
    <row r="145" spans="1:63">
      <c r="A145" s="52"/>
      <c r="B145" s="52"/>
      <c r="C145" s="52"/>
      <c r="D145" s="52"/>
      <c r="E145" s="52"/>
      <c r="F145" s="52"/>
      <c r="G145" s="55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/>
      <c r="BB145" s="52"/>
      <c r="BC145" s="52"/>
      <c r="BD145" s="53"/>
      <c r="BE145" s="52"/>
      <c r="BF145" s="52"/>
      <c r="BG145" s="52"/>
      <c r="BH145" s="52"/>
      <c r="BI145" s="52"/>
      <c r="BJ145" s="52"/>
      <c r="BK145" s="52"/>
    </row>
    <row r="146" spans="1:63">
      <c r="A146" s="52"/>
      <c r="B146" s="52"/>
      <c r="C146" s="52"/>
      <c r="D146" s="52"/>
      <c r="E146" s="52"/>
      <c r="F146" s="52"/>
      <c r="G146" s="55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/>
      <c r="BB146" s="52"/>
      <c r="BC146" s="52"/>
      <c r="BD146" s="53"/>
      <c r="BE146" s="52"/>
      <c r="BF146" s="52"/>
      <c r="BG146" s="52"/>
      <c r="BH146" s="52"/>
      <c r="BI146" s="52"/>
      <c r="BJ146" s="52"/>
      <c r="BK146" s="52"/>
    </row>
    <row r="147" spans="1:63">
      <c r="A147" s="52"/>
      <c r="B147" s="52"/>
      <c r="C147" s="52"/>
      <c r="D147" s="52"/>
      <c r="E147" s="52"/>
      <c r="F147" s="52"/>
      <c r="G147" s="55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/>
      <c r="BB147" s="52"/>
      <c r="BC147" s="52"/>
      <c r="BD147" s="53"/>
      <c r="BE147" s="52"/>
      <c r="BF147" s="52"/>
      <c r="BG147" s="52"/>
      <c r="BH147" s="52"/>
      <c r="BI147" s="52"/>
      <c r="BJ147" s="52"/>
      <c r="BK147" s="52"/>
    </row>
    <row r="148" spans="1:63">
      <c r="A148" s="52"/>
      <c r="B148" s="52"/>
      <c r="C148" s="52"/>
      <c r="D148" s="52"/>
      <c r="E148" s="52"/>
      <c r="F148" s="52"/>
      <c r="G148" s="55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/>
      <c r="BB148" s="52"/>
      <c r="BC148" s="52"/>
      <c r="BD148" s="53"/>
      <c r="BE148" s="52"/>
      <c r="BF148" s="52"/>
      <c r="BG148" s="52"/>
      <c r="BH148" s="52"/>
      <c r="BI148" s="52"/>
      <c r="BJ148" s="52"/>
      <c r="BK148" s="52"/>
    </row>
    <row r="149" spans="1:63">
      <c r="A149" s="52"/>
      <c r="B149" s="52"/>
      <c r="C149" s="52"/>
      <c r="D149" s="52"/>
      <c r="E149" s="52"/>
      <c r="F149" s="52"/>
      <c r="G149" s="55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/>
      <c r="BB149" s="52"/>
      <c r="BC149" s="52"/>
      <c r="BD149" s="53"/>
      <c r="BE149" s="52"/>
      <c r="BF149" s="52"/>
      <c r="BG149" s="52"/>
      <c r="BH149" s="52"/>
      <c r="BI149" s="52"/>
      <c r="BJ149" s="52"/>
      <c r="BK149" s="52"/>
    </row>
    <row r="150" spans="1:63">
      <c r="A150" s="52"/>
      <c r="B150" s="52"/>
      <c r="C150" s="52"/>
      <c r="D150" s="52"/>
      <c r="E150" s="52"/>
      <c r="F150" s="52"/>
      <c r="G150" s="55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/>
      <c r="BB150" s="52"/>
      <c r="BC150" s="52"/>
      <c r="BD150" s="53"/>
      <c r="BE150" s="52"/>
      <c r="BF150" s="52"/>
      <c r="BG150" s="52"/>
      <c r="BH150" s="52"/>
      <c r="BI150" s="52"/>
      <c r="BJ150" s="52"/>
      <c r="BK150" s="52"/>
    </row>
    <row r="151" spans="1:63">
      <c r="A151" s="52"/>
      <c r="B151" s="52"/>
      <c r="C151" s="52"/>
      <c r="D151" s="52"/>
      <c r="E151" s="52"/>
      <c r="F151" s="52"/>
      <c r="G151" s="55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/>
      <c r="BB151" s="52"/>
      <c r="BC151" s="52"/>
      <c r="BD151" s="53"/>
      <c r="BE151" s="52"/>
      <c r="BF151" s="52"/>
      <c r="BG151" s="52"/>
      <c r="BH151" s="52"/>
      <c r="BI151" s="52"/>
      <c r="BJ151" s="52"/>
      <c r="BK151" s="52"/>
    </row>
    <row r="152" spans="1:63">
      <c r="A152" s="52"/>
      <c r="B152" s="52"/>
      <c r="C152" s="52"/>
      <c r="D152" s="52"/>
      <c r="E152" s="52"/>
      <c r="F152" s="52"/>
      <c r="G152" s="55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/>
      <c r="BB152" s="52"/>
      <c r="BC152" s="52"/>
      <c r="BD152" s="53"/>
      <c r="BE152" s="52"/>
      <c r="BF152" s="52"/>
      <c r="BG152" s="52"/>
      <c r="BH152" s="52"/>
      <c r="BI152" s="52"/>
      <c r="BJ152" s="52"/>
      <c r="BK152" s="52"/>
    </row>
    <row r="153" spans="1:63">
      <c r="A153" s="52"/>
      <c r="B153" s="52"/>
      <c r="C153" s="52"/>
      <c r="D153" s="52"/>
      <c r="E153" s="52"/>
      <c r="F153" s="52"/>
      <c r="G153" s="55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/>
      <c r="BB153" s="52"/>
      <c r="BC153" s="52"/>
      <c r="BD153" s="53"/>
      <c r="BE153" s="52"/>
      <c r="BF153" s="52"/>
      <c r="BG153" s="52"/>
      <c r="BH153" s="52"/>
      <c r="BI153" s="52"/>
      <c r="BJ153" s="52"/>
      <c r="BK153" s="52"/>
    </row>
    <row r="154" spans="1:63">
      <c r="A154" s="52"/>
      <c r="B154" s="52"/>
      <c r="C154" s="52"/>
      <c r="D154" s="52"/>
      <c r="E154" s="52"/>
      <c r="F154" s="52"/>
      <c r="G154" s="55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/>
      <c r="BB154" s="52"/>
      <c r="BC154" s="52"/>
      <c r="BD154" s="53"/>
      <c r="BE154" s="52"/>
      <c r="BF154" s="52"/>
      <c r="BG154" s="52"/>
      <c r="BH154" s="52"/>
      <c r="BI154" s="52"/>
      <c r="BJ154" s="52"/>
      <c r="BK154" s="52"/>
    </row>
    <row r="155" spans="1:63">
      <c r="A155" s="52"/>
      <c r="B155" s="52"/>
      <c r="C155" s="52"/>
      <c r="D155" s="52"/>
      <c r="E155" s="52"/>
      <c r="F155" s="52"/>
      <c r="G155" s="55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/>
      <c r="BB155" s="52"/>
      <c r="BC155" s="52"/>
      <c r="BD155" s="53"/>
      <c r="BE155" s="52"/>
      <c r="BF155" s="52"/>
      <c r="BG155" s="52"/>
      <c r="BH155" s="52"/>
      <c r="BI155" s="52"/>
      <c r="BJ155" s="52"/>
      <c r="BK155" s="52"/>
    </row>
    <row r="156" spans="1:63">
      <c r="A156" s="52"/>
      <c r="B156" s="52"/>
      <c r="C156" s="52"/>
      <c r="D156" s="52"/>
      <c r="E156" s="52"/>
      <c r="F156" s="52"/>
      <c r="G156" s="55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/>
      <c r="BB156" s="52"/>
      <c r="BC156" s="52"/>
      <c r="BD156" s="53"/>
      <c r="BE156" s="52"/>
      <c r="BF156" s="52"/>
      <c r="BG156" s="52"/>
      <c r="BH156" s="52"/>
      <c r="BI156" s="52"/>
      <c r="BJ156" s="52"/>
      <c r="BK156" s="52"/>
    </row>
    <row r="157" spans="1:63">
      <c r="A157" s="52"/>
      <c r="B157" s="52"/>
      <c r="C157" s="52"/>
      <c r="D157" s="52"/>
      <c r="E157" s="52"/>
      <c r="F157" s="52"/>
      <c r="G157" s="55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/>
      <c r="BB157" s="52"/>
      <c r="BC157" s="52"/>
      <c r="BD157" s="53"/>
      <c r="BE157" s="52"/>
      <c r="BF157" s="52"/>
      <c r="BG157" s="52"/>
      <c r="BH157" s="52"/>
      <c r="BI157" s="52"/>
      <c r="BJ157" s="52"/>
      <c r="BK157" s="52"/>
    </row>
    <row r="158" spans="1:63">
      <c r="A158" s="52"/>
      <c r="B158" s="52"/>
      <c r="C158" s="52"/>
      <c r="D158" s="52"/>
      <c r="E158" s="52"/>
      <c r="F158" s="52"/>
      <c r="G158" s="55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/>
      <c r="BB158" s="52"/>
      <c r="BC158" s="52"/>
      <c r="BD158" s="53"/>
      <c r="BE158" s="52"/>
      <c r="BF158" s="52"/>
      <c r="BG158" s="52"/>
      <c r="BH158" s="52"/>
      <c r="BI158" s="52"/>
      <c r="BJ158" s="52"/>
      <c r="BK158" s="52"/>
    </row>
    <row r="159" spans="1:63">
      <c r="A159" s="52"/>
      <c r="B159" s="52"/>
      <c r="C159" s="52"/>
      <c r="D159" s="52"/>
      <c r="E159" s="52"/>
      <c r="F159" s="52"/>
      <c r="G159" s="55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/>
      <c r="BB159" s="52"/>
      <c r="BC159" s="52"/>
      <c r="BD159" s="53"/>
      <c r="BE159" s="52"/>
      <c r="BF159" s="52"/>
      <c r="BG159" s="52"/>
      <c r="BH159" s="52"/>
      <c r="BI159" s="52"/>
      <c r="BJ159" s="52"/>
      <c r="BK159" s="52"/>
    </row>
    <row r="160" spans="1:63">
      <c r="A160" s="52"/>
      <c r="B160" s="52"/>
      <c r="C160" s="52"/>
      <c r="D160" s="52"/>
      <c r="E160" s="52"/>
      <c r="F160" s="52"/>
      <c r="G160" s="55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/>
      <c r="BB160" s="52"/>
      <c r="BC160" s="52"/>
      <c r="BD160" s="53"/>
      <c r="BE160" s="52"/>
      <c r="BF160" s="52"/>
      <c r="BG160" s="52"/>
      <c r="BH160" s="52"/>
      <c r="BI160" s="52"/>
      <c r="BJ160" s="52"/>
      <c r="BK160" s="52"/>
    </row>
    <row r="161" spans="1:63">
      <c r="A161" s="52"/>
      <c r="B161" s="52"/>
      <c r="C161" s="52"/>
      <c r="D161" s="52"/>
      <c r="E161" s="52"/>
      <c r="F161" s="52"/>
      <c r="G161" s="55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/>
      <c r="BB161" s="52"/>
      <c r="BC161" s="52"/>
      <c r="BD161" s="53"/>
      <c r="BE161" s="52"/>
      <c r="BF161" s="52"/>
      <c r="BG161" s="52"/>
      <c r="BH161" s="52"/>
      <c r="BI161" s="52"/>
      <c r="BJ161" s="52"/>
      <c r="BK161" s="52"/>
    </row>
    <row r="162" spans="1:63">
      <c r="A162" s="52"/>
      <c r="B162" s="52"/>
      <c r="C162" s="52"/>
      <c r="D162" s="52"/>
      <c r="E162" s="52"/>
      <c r="F162" s="52"/>
      <c r="G162" s="55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/>
      <c r="BB162" s="52"/>
      <c r="BC162" s="52"/>
      <c r="BD162" s="53"/>
      <c r="BE162" s="52"/>
      <c r="BF162" s="52"/>
      <c r="BG162" s="52"/>
      <c r="BH162" s="52"/>
      <c r="BI162" s="52"/>
      <c r="BJ162" s="52"/>
      <c r="BK162" s="52"/>
    </row>
    <row r="163" spans="1:63">
      <c r="A163" s="52"/>
      <c r="B163" s="52"/>
      <c r="C163" s="52"/>
      <c r="D163" s="52"/>
      <c r="E163" s="52"/>
      <c r="F163" s="52"/>
      <c r="G163" s="55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/>
      <c r="BB163" s="52"/>
      <c r="BC163" s="52"/>
      <c r="BD163" s="53"/>
      <c r="BE163" s="52"/>
      <c r="BF163" s="52"/>
      <c r="BG163" s="52"/>
      <c r="BH163" s="52"/>
      <c r="BI163" s="52"/>
      <c r="BJ163" s="52"/>
      <c r="BK163" s="52"/>
    </row>
    <row r="164" spans="1:63">
      <c r="A164" s="52"/>
      <c r="B164" s="52"/>
      <c r="C164" s="52"/>
      <c r="D164" s="52"/>
      <c r="E164" s="52"/>
      <c r="F164" s="52"/>
      <c r="G164" s="55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/>
      <c r="BB164" s="52"/>
      <c r="BC164" s="52"/>
      <c r="BD164" s="53"/>
      <c r="BE164" s="52"/>
      <c r="BF164" s="52"/>
      <c r="BG164" s="52"/>
      <c r="BH164" s="52"/>
      <c r="BI164" s="52"/>
      <c r="BJ164" s="52"/>
      <c r="BK164" s="52"/>
    </row>
    <row r="165" spans="1:63">
      <c r="A165" s="52"/>
      <c r="B165" s="52"/>
      <c r="C165" s="52"/>
      <c r="D165" s="52"/>
      <c r="E165" s="52"/>
      <c r="F165" s="52"/>
      <c r="G165" s="55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/>
      <c r="BB165" s="52"/>
      <c r="BC165" s="52"/>
      <c r="BD165" s="53"/>
      <c r="BE165" s="52"/>
      <c r="BF165" s="52"/>
      <c r="BG165" s="52"/>
      <c r="BH165" s="52"/>
      <c r="BI165" s="52"/>
      <c r="BJ165" s="52"/>
      <c r="BK165" s="52"/>
    </row>
    <row r="166" spans="1:63">
      <c r="A166" s="52"/>
      <c r="B166" s="52"/>
      <c r="C166" s="52"/>
      <c r="D166" s="52"/>
      <c r="E166" s="52"/>
      <c r="F166" s="52"/>
      <c r="G166" s="55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/>
      <c r="BB166" s="52"/>
      <c r="BC166" s="52"/>
      <c r="BD166" s="53"/>
      <c r="BE166" s="52"/>
      <c r="BF166" s="52"/>
      <c r="BG166" s="52"/>
      <c r="BH166" s="52"/>
      <c r="BI166" s="52"/>
      <c r="BJ166" s="52"/>
      <c r="BK166" s="52"/>
    </row>
    <row r="167" spans="1:63">
      <c r="A167" s="52"/>
      <c r="B167" s="52"/>
      <c r="C167" s="52"/>
      <c r="D167" s="52"/>
      <c r="E167" s="52"/>
      <c r="F167" s="52"/>
      <c r="G167" s="55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3"/>
      <c r="BE167" s="52"/>
      <c r="BF167" s="52"/>
      <c r="BG167" s="52"/>
      <c r="BH167" s="52"/>
      <c r="BI167" s="52"/>
      <c r="BJ167" s="52"/>
      <c r="BK167" s="52"/>
    </row>
    <row r="168" spans="1:63">
      <c r="A168" s="52"/>
      <c r="B168" s="52"/>
      <c r="C168" s="52"/>
      <c r="D168" s="52"/>
      <c r="E168" s="52"/>
      <c r="F168" s="52"/>
      <c r="G168" s="55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/>
      <c r="BB168" s="52"/>
      <c r="BC168" s="52"/>
      <c r="BD168" s="53"/>
      <c r="BE168" s="52"/>
      <c r="BF168" s="52"/>
      <c r="BG168" s="52"/>
      <c r="BH168" s="52"/>
      <c r="BI168" s="52"/>
      <c r="BJ168" s="52"/>
      <c r="BK168" s="52"/>
    </row>
    <row r="169" spans="1:63">
      <c r="A169" s="52"/>
      <c r="B169" s="52"/>
      <c r="C169" s="52"/>
      <c r="D169" s="52"/>
      <c r="E169" s="52"/>
      <c r="F169" s="52"/>
      <c r="G169" s="55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3"/>
      <c r="BE169" s="52"/>
      <c r="BF169" s="52"/>
      <c r="BG169" s="52"/>
      <c r="BH169" s="52"/>
      <c r="BI169" s="52"/>
      <c r="BJ169" s="52"/>
      <c r="BK169" s="52"/>
    </row>
    <row r="170" spans="1:63">
      <c r="A170" s="52"/>
      <c r="B170" s="52"/>
      <c r="C170" s="52"/>
      <c r="D170" s="52"/>
      <c r="E170" s="52"/>
      <c r="F170" s="52"/>
      <c r="G170" s="55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3"/>
      <c r="BE170" s="52"/>
      <c r="BF170" s="52"/>
      <c r="BG170" s="52"/>
      <c r="BH170" s="52"/>
      <c r="BI170" s="52"/>
      <c r="BJ170" s="52"/>
      <c r="BK170" s="52"/>
    </row>
    <row r="171" spans="1:63">
      <c r="A171" s="52"/>
      <c r="B171" s="52"/>
      <c r="C171" s="52"/>
      <c r="D171" s="52"/>
      <c r="E171" s="52"/>
      <c r="F171" s="52"/>
      <c r="G171" s="55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3"/>
      <c r="BE171" s="52"/>
      <c r="BF171" s="52"/>
      <c r="BG171" s="52"/>
      <c r="BH171" s="52"/>
      <c r="BI171" s="52"/>
      <c r="BJ171" s="52"/>
      <c r="BK171" s="52"/>
    </row>
    <row r="172" spans="1:63">
      <c r="A172" s="52"/>
      <c r="B172" s="52"/>
      <c r="C172" s="52"/>
      <c r="D172" s="52"/>
      <c r="E172" s="52"/>
      <c r="F172" s="52"/>
      <c r="G172" s="55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3"/>
      <c r="BE172" s="52"/>
      <c r="BF172" s="52"/>
      <c r="BG172" s="52"/>
      <c r="BH172" s="52"/>
      <c r="BI172" s="52"/>
      <c r="BJ172" s="52"/>
      <c r="BK172" s="52"/>
    </row>
    <row r="173" spans="1:63">
      <c r="A173" s="52"/>
      <c r="B173" s="52"/>
      <c r="C173" s="52"/>
      <c r="D173" s="52"/>
      <c r="E173" s="52"/>
      <c r="F173" s="52"/>
      <c r="G173" s="55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3"/>
      <c r="BE173" s="52"/>
      <c r="BF173" s="52"/>
      <c r="BG173" s="52"/>
      <c r="BH173" s="52"/>
      <c r="BI173" s="52"/>
      <c r="BJ173" s="52"/>
      <c r="BK173" s="52"/>
    </row>
    <row r="174" spans="1:63">
      <c r="A174" s="52"/>
      <c r="B174" s="52"/>
      <c r="C174" s="52"/>
      <c r="D174" s="52"/>
      <c r="E174" s="52"/>
      <c r="F174" s="52"/>
      <c r="G174" s="55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/>
      <c r="BB174" s="52"/>
      <c r="BC174" s="52"/>
      <c r="BD174" s="53"/>
      <c r="BE174" s="52"/>
      <c r="BF174" s="52"/>
      <c r="BG174" s="52"/>
      <c r="BH174" s="52"/>
      <c r="BI174" s="52"/>
      <c r="BJ174" s="52"/>
      <c r="BK174" s="52"/>
    </row>
    <row r="175" spans="1:63">
      <c r="A175" s="52"/>
      <c r="B175" s="52"/>
      <c r="C175" s="52"/>
      <c r="D175" s="52"/>
      <c r="E175" s="52"/>
      <c r="F175" s="52"/>
      <c r="G175" s="55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/>
      <c r="BB175" s="52"/>
      <c r="BC175" s="52"/>
      <c r="BD175" s="53"/>
      <c r="BE175" s="52"/>
      <c r="BF175" s="52"/>
      <c r="BG175" s="52"/>
      <c r="BH175" s="52"/>
      <c r="BI175" s="52"/>
      <c r="BJ175" s="52"/>
      <c r="BK175" s="52"/>
    </row>
    <row r="176" spans="1:63">
      <c r="A176" s="52"/>
      <c r="B176" s="52"/>
      <c r="C176" s="52"/>
      <c r="D176" s="52"/>
      <c r="E176" s="52"/>
      <c r="F176" s="52"/>
      <c r="G176" s="55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/>
      <c r="BB176" s="52"/>
      <c r="BC176" s="52"/>
      <c r="BD176" s="53"/>
      <c r="BE176" s="52"/>
      <c r="BF176" s="52"/>
      <c r="BG176" s="52"/>
      <c r="BH176" s="52"/>
      <c r="BI176" s="52"/>
      <c r="BJ176" s="52"/>
      <c r="BK176" s="52"/>
    </row>
    <row r="177" spans="1:63">
      <c r="A177" s="52"/>
      <c r="B177" s="52"/>
      <c r="C177" s="52"/>
      <c r="D177" s="52"/>
      <c r="E177" s="52"/>
      <c r="F177" s="52"/>
      <c r="G177" s="55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/>
      <c r="BB177" s="52"/>
      <c r="BC177" s="52"/>
      <c r="BD177" s="53"/>
      <c r="BE177" s="52"/>
      <c r="BF177" s="52"/>
      <c r="BG177" s="52"/>
      <c r="BH177" s="52"/>
      <c r="BI177" s="52"/>
      <c r="BJ177" s="52"/>
      <c r="BK177" s="52"/>
    </row>
    <row r="178" spans="1:63">
      <c r="A178" s="52"/>
      <c r="B178" s="52"/>
      <c r="C178" s="52"/>
      <c r="D178" s="52"/>
      <c r="E178" s="52"/>
      <c r="F178" s="52"/>
      <c r="G178" s="55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/>
      <c r="BB178" s="52"/>
      <c r="BC178" s="52"/>
      <c r="BD178" s="53"/>
      <c r="BE178" s="52"/>
      <c r="BF178" s="52"/>
      <c r="BG178" s="52"/>
      <c r="BH178" s="52"/>
      <c r="BI178" s="52"/>
      <c r="BJ178" s="52"/>
      <c r="BK178" s="52"/>
    </row>
    <row r="179" spans="1:63">
      <c r="A179" s="52"/>
      <c r="B179" s="52"/>
      <c r="C179" s="52"/>
      <c r="D179" s="52"/>
      <c r="E179" s="52"/>
      <c r="F179" s="52"/>
      <c r="G179" s="55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/>
      <c r="BB179" s="52"/>
      <c r="BC179" s="52"/>
      <c r="BD179" s="53"/>
      <c r="BE179" s="52"/>
      <c r="BF179" s="52"/>
      <c r="BG179" s="52"/>
      <c r="BH179" s="52"/>
      <c r="BI179" s="52"/>
      <c r="BJ179" s="52"/>
      <c r="BK179" s="52"/>
    </row>
    <row r="180" spans="1:63">
      <c r="A180" s="52"/>
      <c r="B180" s="52"/>
      <c r="C180" s="52"/>
      <c r="D180" s="52"/>
      <c r="E180" s="52"/>
      <c r="F180" s="52"/>
      <c r="G180" s="55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/>
      <c r="BB180" s="52"/>
      <c r="BC180" s="52"/>
      <c r="BD180" s="53"/>
      <c r="BE180" s="52"/>
      <c r="BF180" s="52"/>
      <c r="BG180" s="52"/>
      <c r="BH180" s="52"/>
      <c r="BI180" s="52"/>
      <c r="BJ180" s="52"/>
      <c r="BK180" s="52"/>
    </row>
    <row r="181" spans="1:63">
      <c r="A181" s="52"/>
      <c r="B181" s="52"/>
      <c r="C181" s="52"/>
      <c r="D181" s="52"/>
      <c r="E181" s="52"/>
      <c r="F181" s="52"/>
      <c r="G181" s="55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/>
      <c r="BB181" s="52"/>
      <c r="BC181" s="52"/>
      <c r="BD181" s="53"/>
      <c r="BE181" s="52"/>
      <c r="BF181" s="52"/>
      <c r="BG181" s="52"/>
      <c r="BH181" s="52"/>
      <c r="BI181" s="52"/>
      <c r="BJ181" s="52"/>
      <c r="BK181" s="52"/>
    </row>
    <row r="182" spans="1:63">
      <c r="A182" s="52"/>
      <c r="B182" s="52"/>
      <c r="C182" s="52"/>
      <c r="D182" s="52"/>
      <c r="E182" s="52"/>
      <c r="F182" s="52"/>
      <c r="G182" s="55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3"/>
      <c r="BE182" s="52"/>
      <c r="BF182" s="52"/>
      <c r="BG182" s="52"/>
      <c r="BH182" s="52"/>
      <c r="BI182" s="52"/>
      <c r="BJ182" s="52"/>
      <c r="BK182" s="52"/>
    </row>
    <row r="183" spans="1:63">
      <c r="A183" s="52"/>
      <c r="B183" s="52"/>
      <c r="C183" s="52"/>
      <c r="D183" s="52"/>
      <c r="E183" s="52"/>
      <c r="F183" s="52"/>
      <c r="G183" s="55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/>
      <c r="BB183" s="52"/>
      <c r="BC183" s="52"/>
      <c r="BD183" s="53"/>
      <c r="BE183" s="52"/>
      <c r="BF183" s="52"/>
      <c r="BG183" s="52"/>
      <c r="BH183" s="52"/>
      <c r="BI183" s="52"/>
      <c r="BJ183" s="52"/>
      <c r="BK183" s="52"/>
    </row>
    <row r="184" spans="1:63">
      <c r="A184" s="52"/>
      <c r="B184" s="52"/>
      <c r="C184" s="52"/>
      <c r="D184" s="52"/>
      <c r="E184" s="52"/>
      <c r="F184" s="52"/>
      <c r="G184" s="55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/>
      <c r="BB184" s="52"/>
      <c r="BC184" s="52"/>
      <c r="BD184" s="53"/>
      <c r="BE184" s="52"/>
      <c r="BF184" s="52"/>
      <c r="BG184" s="52"/>
      <c r="BH184" s="52"/>
      <c r="BI184" s="52"/>
      <c r="BJ184" s="52"/>
      <c r="BK184" s="52"/>
    </row>
    <row r="185" spans="1:63">
      <c r="A185" s="52"/>
      <c r="B185" s="52"/>
      <c r="C185" s="52"/>
      <c r="D185" s="52"/>
      <c r="E185" s="52"/>
      <c r="F185" s="52"/>
      <c r="G185" s="55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52"/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/>
      <c r="BB185" s="52"/>
      <c r="BC185" s="52"/>
      <c r="BD185" s="53"/>
      <c r="BE185" s="52"/>
      <c r="BF185" s="52"/>
      <c r="BG185" s="52"/>
      <c r="BH185" s="52"/>
      <c r="BI185" s="52"/>
      <c r="BJ185" s="52"/>
      <c r="BK185" s="52"/>
    </row>
    <row r="186" spans="1:63">
      <c r="A186" s="52"/>
      <c r="B186" s="52"/>
      <c r="C186" s="52"/>
      <c r="D186" s="52"/>
      <c r="E186" s="52"/>
      <c r="F186" s="52"/>
      <c r="G186" s="55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52"/>
      <c r="AE186" s="52"/>
      <c r="AF186" s="52"/>
      <c r="AG186" s="52"/>
      <c r="AH186" s="52"/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/>
      <c r="BB186" s="52"/>
      <c r="BC186" s="52"/>
      <c r="BD186" s="53"/>
      <c r="BE186" s="52"/>
      <c r="BF186" s="52"/>
      <c r="BG186" s="52"/>
      <c r="BH186" s="52"/>
      <c r="BI186" s="52"/>
      <c r="BJ186" s="52"/>
      <c r="BK186" s="52"/>
    </row>
    <row r="187" spans="1:63">
      <c r="A187" s="52"/>
      <c r="B187" s="52"/>
      <c r="C187" s="52"/>
      <c r="D187" s="52"/>
      <c r="E187" s="52"/>
      <c r="F187" s="52"/>
      <c r="G187" s="55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/>
      <c r="BB187" s="52"/>
      <c r="BC187" s="52"/>
      <c r="BD187" s="53"/>
      <c r="BE187" s="52"/>
      <c r="BF187" s="52"/>
      <c r="BG187" s="52"/>
      <c r="BH187" s="52"/>
      <c r="BI187" s="52"/>
      <c r="BJ187" s="52"/>
      <c r="BK187" s="52"/>
    </row>
    <row r="188" spans="1:63">
      <c r="A188" s="52"/>
      <c r="B188" s="52"/>
      <c r="C188" s="52"/>
      <c r="D188" s="52"/>
      <c r="E188" s="52"/>
      <c r="F188" s="52"/>
      <c r="G188" s="55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52"/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/>
      <c r="BB188" s="52"/>
      <c r="BC188" s="52"/>
      <c r="BD188" s="53"/>
      <c r="BE188" s="52"/>
      <c r="BF188" s="52"/>
      <c r="BG188" s="52"/>
      <c r="BH188" s="52"/>
      <c r="BI188" s="52"/>
      <c r="BJ188" s="52"/>
      <c r="BK188" s="52"/>
    </row>
    <row r="189" spans="1:63">
      <c r="A189" s="52"/>
      <c r="B189" s="52"/>
      <c r="C189" s="52"/>
      <c r="D189" s="52"/>
      <c r="E189" s="52"/>
      <c r="F189" s="52"/>
      <c r="G189" s="55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52"/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/>
      <c r="BB189" s="52"/>
      <c r="BC189" s="52"/>
      <c r="BD189" s="53"/>
      <c r="BE189" s="52"/>
      <c r="BF189" s="52"/>
      <c r="BG189" s="52"/>
      <c r="BH189" s="52"/>
      <c r="BI189" s="52"/>
      <c r="BJ189" s="52"/>
      <c r="BK189" s="52"/>
    </row>
    <row r="190" spans="1:63">
      <c r="A190" s="52"/>
      <c r="B190" s="52"/>
      <c r="C190" s="52"/>
      <c r="D190" s="52"/>
      <c r="E190" s="52"/>
      <c r="F190" s="52"/>
      <c r="G190" s="55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52"/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/>
      <c r="BB190" s="52"/>
      <c r="BC190" s="52"/>
      <c r="BD190" s="53"/>
      <c r="BE190" s="52"/>
      <c r="BF190" s="52"/>
      <c r="BG190" s="52"/>
      <c r="BH190" s="52"/>
      <c r="BI190" s="52"/>
      <c r="BJ190" s="52"/>
      <c r="BK190" s="52"/>
    </row>
    <row r="191" spans="1:63">
      <c r="A191" s="52"/>
      <c r="B191" s="52"/>
      <c r="C191" s="52"/>
      <c r="D191" s="52"/>
      <c r="E191" s="52"/>
      <c r="F191" s="52"/>
      <c r="G191" s="55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52"/>
      <c r="AE191" s="52"/>
      <c r="AF191" s="52"/>
      <c r="AG191" s="52"/>
      <c r="AH191" s="52"/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/>
      <c r="BB191" s="52"/>
      <c r="BC191" s="52"/>
      <c r="BD191" s="53"/>
      <c r="BE191" s="52"/>
      <c r="BF191" s="52"/>
      <c r="BG191" s="52"/>
      <c r="BH191" s="52"/>
      <c r="BI191" s="52"/>
      <c r="BJ191" s="52"/>
      <c r="BK191" s="52"/>
    </row>
  </sheetData>
  <mergeCells count="4">
    <mergeCell ref="A99:A100"/>
    <mergeCell ref="B99:D99"/>
    <mergeCell ref="A131:A132"/>
    <mergeCell ref="B131:D131"/>
  </mergeCells>
  <phoneticPr fontId="17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DrawRelPerm">
                <anchor moveWithCells="1" sizeWithCells="1">
                  <from>
                    <xdr:col>9</xdr:col>
                    <xdr:colOff>736600</xdr:colOff>
                    <xdr:row>2</xdr:row>
                    <xdr:rowOff>63500</xdr:rowOff>
                  </from>
                  <to>
                    <xdr:col>11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DrawPVT">
                <anchor moveWithCells="1" sizeWithCells="1">
                  <from>
                    <xdr:col>9</xdr:col>
                    <xdr:colOff>812800</xdr:colOff>
                    <xdr:row>4</xdr:row>
                    <xdr:rowOff>63500</xdr:rowOff>
                  </from>
                  <to>
                    <xdr:col>11</xdr:col>
                    <xdr:colOff>241300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ThisWorkbook.DrawWells">
                <anchor moveWithCells="1" sizeWithCells="1">
                  <from>
                    <xdr:col>9</xdr:col>
                    <xdr:colOff>838200</xdr:colOff>
                    <xdr:row>6</xdr:row>
                    <xdr:rowOff>127000</xdr:rowOff>
                  </from>
                  <to>
                    <xdr:col>11</xdr:col>
                    <xdr:colOff>203200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ThisWorkbook.SimulationLite">
                <anchor moveWithCells="1" sizeWithCells="1">
                  <from>
                    <xdr:col>9</xdr:col>
                    <xdr:colOff>977900</xdr:colOff>
                    <xdr:row>10</xdr:row>
                    <xdr:rowOff>127000</xdr:rowOff>
                  </from>
                  <to>
                    <xdr:col>11</xdr:col>
                    <xdr:colOff>342900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186A6B-C92D-764C-A03F-574D078D3043}">
          <x14:formula1>
            <xm:f>Info!$A$1:$A$2</xm:f>
          </x14:formula1>
          <xm:sqref>B4:B5</xm:sqref>
        </x14:dataValidation>
        <x14:dataValidation type="list" allowBlank="1" showInputMessage="1" showErrorMessage="1" xr:uid="{D5E37C55-AC7B-7247-B1F8-FD94893A3456}">
          <x14:formula1>
            <xm:f>Info!$B$1:$B$2</xm:f>
          </x14:formula1>
          <xm:sqref>C4:C5</xm:sqref>
        </x14:dataValidation>
        <x14:dataValidation type="list" allowBlank="1" showInputMessage="1" showErrorMessage="1" xr:uid="{7047E541-FC95-E44E-8C60-E2A261AE9F58}">
          <x14:formula1>
            <xm:f>Info!$C$1:$C$2</xm:f>
          </x14:formula1>
          <xm:sqref>D4:D5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C7505-E714-BF40-8B79-3CCF68075770}">
  <sheetPr codeName="Sheet3"/>
  <dimension ref="A1:C2"/>
  <sheetViews>
    <sheetView workbookViewId="0">
      <selection activeCell="C2" sqref="C2"/>
    </sheetView>
  </sheetViews>
  <sheetFormatPr baseColWidth="10" defaultRowHeight="15"/>
  <sheetData>
    <row r="1" spans="1:3">
      <c r="A1" t="s">
        <v>50</v>
      </c>
      <c r="B1" t="s">
        <v>50</v>
      </c>
      <c r="C1" t="s">
        <v>50</v>
      </c>
    </row>
    <row r="2" spans="1:3">
      <c r="A2" t="s">
        <v>112</v>
      </c>
      <c r="B2" t="s">
        <v>113</v>
      </c>
      <c r="C2" t="s">
        <v>55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8"/>
  <sheetViews>
    <sheetView showGridLines="0" workbookViewId="0">
      <selection activeCell="A38" sqref="A38"/>
    </sheetView>
  </sheetViews>
  <sheetFormatPr baseColWidth="10" defaultColWidth="8.83203125" defaultRowHeight="14"/>
  <cols>
    <col min="1" max="16384" width="8.83203125" style="4"/>
  </cols>
  <sheetData>
    <row r="1" spans="1:1">
      <c r="A1" s="1" t="s">
        <v>58</v>
      </c>
    </row>
    <row r="2" spans="1:1">
      <c r="A2" s="1" t="s">
        <v>0</v>
      </c>
    </row>
    <row r="3" spans="1:1">
      <c r="A3" s="1"/>
    </row>
    <row r="4" spans="1:1">
      <c r="A4" s="1" t="s">
        <v>26</v>
      </c>
    </row>
    <row r="5" spans="1:1">
      <c r="A5" s="2"/>
    </row>
    <row r="6" spans="1:1">
      <c r="A6" s="1" t="s">
        <v>5</v>
      </c>
    </row>
    <row r="7" spans="1:1">
      <c r="A7" s="1" t="s">
        <v>6</v>
      </c>
    </row>
    <row r="8" spans="1:1">
      <c r="A8" s="1"/>
    </row>
    <row r="9" spans="1:1">
      <c r="A9" s="1" t="s">
        <v>7</v>
      </c>
    </row>
    <row r="10" spans="1:1">
      <c r="A10" s="1" t="s">
        <v>8</v>
      </c>
    </row>
    <row r="11" spans="1:1">
      <c r="A11" s="1"/>
    </row>
    <row r="12" spans="1:1">
      <c r="A12" s="1" t="s">
        <v>9</v>
      </c>
    </row>
    <row r="13" spans="1:1">
      <c r="A13" s="1" t="s">
        <v>10</v>
      </c>
    </row>
    <row r="14" spans="1:1">
      <c r="A14" s="1" t="s">
        <v>11</v>
      </c>
    </row>
    <row r="15" spans="1:1">
      <c r="A15" s="1"/>
    </row>
    <row r="16" spans="1:1">
      <c r="A16" s="1" t="s">
        <v>12</v>
      </c>
    </row>
    <row r="17" spans="1:1">
      <c r="A17" s="1" t="s">
        <v>13</v>
      </c>
    </row>
    <row r="18" spans="1:1">
      <c r="A18" s="3" t="s">
        <v>14</v>
      </c>
    </row>
    <row r="20" spans="1:1">
      <c r="A20" s="4" t="s">
        <v>15</v>
      </c>
    </row>
    <row r="21" spans="1:1">
      <c r="A21" s="4" t="s">
        <v>16</v>
      </c>
    </row>
    <row r="22" spans="1:1">
      <c r="A22" s="4" t="s">
        <v>17</v>
      </c>
    </row>
    <row r="23" spans="1:1">
      <c r="A23" s="4" t="s">
        <v>18</v>
      </c>
    </row>
    <row r="24" spans="1:1">
      <c r="A24" s="4" t="s">
        <v>19</v>
      </c>
    </row>
    <row r="25" spans="1:1">
      <c r="A25" s="4" t="s">
        <v>20</v>
      </c>
    </row>
    <row r="26" spans="1:1">
      <c r="A26" s="1" t="s">
        <v>21</v>
      </c>
    </row>
    <row r="27" spans="1:1">
      <c r="A27" s="4" t="s">
        <v>22</v>
      </c>
    </row>
    <row r="28" spans="1:1">
      <c r="A28" s="4" t="s">
        <v>23</v>
      </c>
    </row>
    <row r="29" spans="1:1">
      <c r="A29" s="4" t="s">
        <v>24</v>
      </c>
    </row>
    <row r="32" spans="1:1">
      <c r="A32" s="1" t="s">
        <v>1</v>
      </c>
    </row>
    <row r="33" spans="1:1">
      <c r="A33" s="1"/>
    </row>
    <row r="34" spans="1:1">
      <c r="A34" s="1" t="s">
        <v>2</v>
      </c>
    </row>
    <row r="35" spans="1:1">
      <c r="A35" s="4" t="s">
        <v>25</v>
      </c>
    </row>
    <row r="36" spans="1:1">
      <c r="A36" s="1" t="s">
        <v>3</v>
      </c>
    </row>
    <row r="38" spans="1:1">
      <c r="A38" s="1" t="s">
        <v>4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Simulation</vt:lpstr>
      <vt:lpstr>Info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Tao Wang</cp:lastModifiedBy>
  <dcterms:created xsi:type="dcterms:W3CDTF">2013-12-13T17:46:19Z</dcterms:created>
  <dcterms:modified xsi:type="dcterms:W3CDTF">2019-02-12T16:33:21Z</dcterms:modified>
</cp:coreProperties>
</file>